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7561\Desktop\"/>
    </mc:Choice>
  </mc:AlternateContent>
  <bookViews>
    <workbookView windowHeight="17655"/>
  </bookViews>
  <sheets>
    <sheet name="板块强度排名20261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<sst xmlns="http://schemas.openxmlformats.org/spreadsheetml/2006/main" count="335" uniqueCount="335">
  <si>
    <t xml:space="preserve"> 历史行情.指标排序 板块强度排名 周期:日线 日期:2026-10-15 四 指标:板块排序设置 使用1000个数据 前复权</t>
  </si>
  <si>
    <t xml:space="preserve">代码   </t>
  </si>
  <si>
    <t>名称</t>
  </si>
  <si>
    <t xml:space="preserve"> 涨幅%</t>
  </si>
  <si>
    <t xml:space="preserve"> 收盘</t>
  </si>
  <si>
    <t>总金额</t>
  </si>
  <si>
    <t>强度</t>
  </si>
  <si>
    <t>昨日</t>
  </si>
  <si>
    <t>前日</t>
  </si>
  <si>
    <t>差值</t>
  </si>
  <si>
    <t>股数</t>
  </si>
  <si>
    <t>涨停数</t>
  </si>
  <si>
    <t>主升周期</t>
  </si>
  <si>
    <t>通达信88</t>
  </si>
  <si>
    <t>203167072256</t>
  </si>
  <si>
    <t>含H股</t>
  </si>
  <si>
    <t>254766874624</t>
  </si>
  <si>
    <t>知识付费</t>
  </si>
  <si>
    <t>仿制药</t>
  </si>
  <si>
    <t>幽门螺杆菌</t>
  </si>
  <si>
    <t>白酒概念</t>
  </si>
  <si>
    <t>生物疫苗</t>
  </si>
  <si>
    <t>知识产权</t>
  </si>
  <si>
    <t>肝炎概念</t>
  </si>
  <si>
    <t>辅助生殖</t>
  </si>
  <si>
    <t>减肥药</t>
  </si>
  <si>
    <t>免疫治疗</t>
  </si>
  <si>
    <t>创新药</t>
  </si>
  <si>
    <t>基因概念</t>
  </si>
  <si>
    <t>维生素</t>
  </si>
  <si>
    <t>中特估</t>
  </si>
  <si>
    <t>100578254848</t>
  </si>
  <si>
    <t>民营医院</t>
  </si>
  <si>
    <t>医美概念</t>
  </si>
  <si>
    <t>CXO概念</t>
  </si>
  <si>
    <t>NMN概念</t>
  </si>
  <si>
    <t>跨境支付CIPS</t>
  </si>
  <si>
    <t>含可转债</t>
  </si>
  <si>
    <t>含GDR</t>
  </si>
  <si>
    <t>婴童概念</t>
  </si>
  <si>
    <t>工业大麻</t>
  </si>
  <si>
    <t>博彩概念</t>
  </si>
  <si>
    <t>家庭医生</t>
  </si>
  <si>
    <t>AI医疗概念</t>
  </si>
  <si>
    <t>宠物经济</t>
  </si>
  <si>
    <t>合成生物</t>
  </si>
  <si>
    <t>IP经济</t>
  </si>
  <si>
    <t>互联金融</t>
  </si>
  <si>
    <t>体育概念</t>
  </si>
  <si>
    <t>数字货币</t>
  </si>
  <si>
    <t>网络游戏</t>
  </si>
  <si>
    <t>数据确权</t>
  </si>
  <si>
    <t>电子身份证</t>
  </si>
  <si>
    <t>网红经济</t>
  </si>
  <si>
    <t>养老概念</t>
  </si>
  <si>
    <t>短剧游戏</t>
  </si>
  <si>
    <t>PVDF概念</t>
  </si>
  <si>
    <t>新零售</t>
  </si>
  <si>
    <t>云游戏</t>
  </si>
  <si>
    <t>区块链</t>
  </si>
  <si>
    <t>一带一路</t>
  </si>
  <si>
    <t>212219527168</t>
  </si>
  <si>
    <t>军贸概念</t>
  </si>
  <si>
    <t>智能医疗</t>
  </si>
  <si>
    <t>医废处理</t>
  </si>
  <si>
    <t>钠电池</t>
  </si>
  <si>
    <t>供销社</t>
  </si>
  <si>
    <t>冷链物流</t>
  </si>
  <si>
    <t>分散染料</t>
  </si>
  <si>
    <t>NFT概念</t>
  </si>
  <si>
    <t>热泵概念</t>
  </si>
  <si>
    <t>小红书概念</t>
  </si>
  <si>
    <t>复合铜箔</t>
  </si>
  <si>
    <t>跨境电商</t>
  </si>
  <si>
    <t>毫米波雷达</t>
  </si>
  <si>
    <t>免税概念</t>
  </si>
  <si>
    <t>ST板块</t>
  </si>
  <si>
    <t>食品安全</t>
  </si>
  <si>
    <t>预制菜</t>
  </si>
  <si>
    <t>PPP概念</t>
  </si>
  <si>
    <t>创投概念</t>
  </si>
  <si>
    <t>166349619200</t>
  </si>
  <si>
    <t>口罩防护</t>
  </si>
  <si>
    <t>大数据</t>
  </si>
  <si>
    <t>AI智能体</t>
  </si>
  <si>
    <t>151882612736</t>
  </si>
  <si>
    <t>化肥概念</t>
  </si>
  <si>
    <t>盐湖提锂</t>
  </si>
  <si>
    <t>国资云</t>
  </si>
  <si>
    <t>华为鸿蒙</t>
  </si>
  <si>
    <t>DeepSeek概念</t>
  </si>
  <si>
    <t>256694452224</t>
  </si>
  <si>
    <t>职业教育</t>
  </si>
  <si>
    <t>含B股</t>
  </si>
  <si>
    <t>AIGC概念</t>
  </si>
  <si>
    <t>119938383872</t>
  </si>
  <si>
    <t>上海自贸</t>
  </si>
  <si>
    <t>烟草概念</t>
  </si>
  <si>
    <t>高铁</t>
  </si>
  <si>
    <t>乡村振兴</t>
  </si>
  <si>
    <t>DRG-DIP</t>
  </si>
  <si>
    <t>电子纸</t>
  </si>
  <si>
    <t>数据要素</t>
  </si>
  <si>
    <t>107219591168</t>
  </si>
  <si>
    <t>腾讯概念</t>
  </si>
  <si>
    <t>134346309632</t>
  </si>
  <si>
    <t>人脑工程</t>
  </si>
  <si>
    <t>雄安新区</t>
  </si>
  <si>
    <t>PCB概念</t>
  </si>
  <si>
    <t>177146183680</t>
  </si>
  <si>
    <t>旅游概念</t>
  </si>
  <si>
    <t>磷概念</t>
  </si>
  <si>
    <t>PEEK材料</t>
  </si>
  <si>
    <t>海南自贸</t>
  </si>
  <si>
    <t>抖音概念</t>
  </si>
  <si>
    <t>132866367488</t>
  </si>
  <si>
    <t>C2M概念</t>
  </si>
  <si>
    <t>数字水印</t>
  </si>
  <si>
    <t>特高压</t>
  </si>
  <si>
    <t>智能家居</t>
  </si>
  <si>
    <t>石墨烯</t>
  </si>
  <si>
    <t>代糖概念</t>
  </si>
  <si>
    <t>粤港澳</t>
  </si>
  <si>
    <t>109120282624</t>
  </si>
  <si>
    <t>生物质能</t>
  </si>
  <si>
    <t>财税数字化</t>
  </si>
  <si>
    <t>中俄贸易</t>
  </si>
  <si>
    <t>动力电池回收</t>
  </si>
  <si>
    <t>充电桩</t>
  </si>
  <si>
    <t>113631232000</t>
  </si>
  <si>
    <t>量子科技</t>
  </si>
  <si>
    <t>绿色电力</t>
  </si>
  <si>
    <t>116604321792</t>
  </si>
  <si>
    <t>垃圾分类</t>
  </si>
  <si>
    <t>人工智能</t>
  </si>
  <si>
    <t>332066947072</t>
  </si>
  <si>
    <t>人造肉</t>
  </si>
  <si>
    <t>Web3概念</t>
  </si>
  <si>
    <t>信创</t>
  </si>
  <si>
    <t>ChatGPT概念</t>
  </si>
  <si>
    <t>阿里概念</t>
  </si>
  <si>
    <t>170421305344</t>
  </si>
  <si>
    <t>超级电容</t>
  </si>
  <si>
    <t>元宇宙概念</t>
  </si>
  <si>
    <t>操作系统</t>
  </si>
  <si>
    <t>工业互联</t>
  </si>
  <si>
    <t>143796256768</t>
  </si>
  <si>
    <t>固态电池</t>
  </si>
  <si>
    <t>135413874688</t>
  </si>
  <si>
    <t>草甘膦</t>
  </si>
  <si>
    <t>物联网</t>
  </si>
  <si>
    <t>180428587008</t>
  </si>
  <si>
    <t>智慧城市</t>
  </si>
  <si>
    <t>智慧政务</t>
  </si>
  <si>
    <t>国产软件</t>
  </si>
  <si>
    <t>钛金属</t>
  </si>
  <si>
    <t>水利建设</t>
  </si>
  <si>
    <t>多模态AI</t>
  </si>
  <si>
    <t>租购同权</t>
  </si>
  <si>
    <t>远程办公</t>
  </si>
  <si>
    <t>汽车电子</t>
  </si>
  <si>
    <t>235522490368</t>
  </si>
  <si>
    <t>新型城镇</t>
  </si>
  <si>
    <t>智能交通</t>
  </si>
  <si>
    <t>装配式建筑</t>
  </si>
  <si>
    <t>雅江水电概念</t>
  </si>
  <si>
    <t>地下管网</t>
  </si>
  <si>
    <t>换电概念</t>
  </si>
  <si>
    <t>节能环保</t>
  </si>
  <si>
    <t>储能</t>
  </si>
  <si>
    <t>297096282112</t>
  </si>
  <si>
    <t>百度概念</t>
  </si>
  <si>
    <t>AI营销</t>
  </si>
  <si>
    <t>锂电池概念</t>
  </si>
  <si>
    <t>236005621760</t>
  </si>
  <si>
    <t>EDA概念</t>
  </si>
  <si>
    <t>MicroLED</t>
  </si>
  <si>
    <t>OLED概念</t>
  </si>
  <si>
    <t>102660726784</t>
  </si>
  <si>
    <t>无人驾驶</t>
  </si>
  <si>
    <t>172856049664</t>
  </si>
  <si>
    <t>海峡西岸</t>
  </si>
  <si>
    <t>车联网</t>
  </si>
  <si>
    <t>智谱AI</t>
  </si>
  <si>
    <t>虚拟电厂</t>
  </si>
  <si>
    <t>小米汽车概念</t>
  </si>
  <si>
    <t>虚拟现实</t>
  </si>
  <si>
    <t>121386827776</t>
  </si>
  <si>
    <t>ETC概念</t>
  </si>
  <si>
    <t>燃料电池</t>
  </si>
  <si>
    <t>有机硅概念</t>
  </si>
  <si>
    <t>无人机</t>
  </si>
  <si>
    <t>143931850752</t>
  </si>
  <si>
    <t>云计算</t>
  </si>
  <si>
    <t>无线耳机</t>
  </si>
  <si>
    <t>锂矿</t>
  </si>
  <si>
    <t>信息安全</t>
  </si>
  <si>
    <t>血氧仪</t>
  </si>
  <si>
    <t>BIPV概念</t>
  </si>
  <si>
    <t>水产品</t>
  </si>
  <si>
    <t>算力租赁</t>
  </si>
  <si>
    <t>华为汽车</t>
  </si>
  <si>
    <t>低空经济</t>
  </si>
  <si>
    <t>155734425600</t>
  </si>
  <si>
    <t>物业管理概念</t>
  </si>
  <si>
    <t>粮食概念</t>
  </si>
  <si>
    <t>机器人概念</t>
  </si>
  <si>
    <t>354122760192</t>
  </si>
  <si>
    <t>MiniLED</t>
  </si>
  <si>
    <t>碳中和</t>
  </si>
  <si>
    <t>军工信息化</t>
  </si>
  <si>
    <t>猪肉</t>
  </si>
  <si>
    <t>超清视频</t>
  </si>
  <si>
    <t>航运概念</t>
  </si>
  <si>
    <t>数据中心</t>
  </si>
  <si>
    <t>388140007424</t>
  </si>
  <si>
    <t>特斯拉概念</t>
  </si>
  <si>
    <t>118776717312</t>
  </si>
  <si>
    <t>氟概念</t>
  </si>
  <si>
    <t>智能电网</t>
  </si>
  <si>
    <t>华为算力</t>
  </si>
  <si>
    <t>氢能源</t>
  </si>
  <si>
    <t>129841979392</t>
  </si>
  <si>
    <t>胎压监测</t>
  </si>
  <si>
    <t>次新股</t>
  </si>
  <si>
    <t>聚氨酯</t>
  </si>
  <si>
    <t>风电</t>
  </si>
  <si>
    <t>144923148288</t>
  </si>
  <si>
    <t>黄金概念</t>
  </si>
  <si>
    <t>核污染防治</t>
  </si>
  <si>
    <t>新能源车</t>
  </si>
  <si>
    <t>345953239040</t>
  </si>
  <si>
    <t>折叠屏</t>
  </si>
  <si>
    <t>高端装备</t>
  </si>
  <si>
    <t>130213789696</t>
  </si>
  <si>
    <t>玻璃基板</t>
  </si>
  <si>
    <t>东数西算</t>
  </si>
  <si>
    <t>199979778048</t>
  </si>
  <si>
    <t>新材料</t>
  </si>
  <si>
    <t>127683411968</t>
  </si>
  <si>
    <t>光伏</t>
  </si>
  <si>
    <t>165944393728</t>
  </si>
  <si>
    <t>安防服务</t>
  </si>
  <si>
    <t>核电核能</t>
  </si>
  <si>
    <t>工业软件</t>
  </si>
  <si>
    <t>时空大数据</t>
  </si>
  <si>
    <t>消费电子概念</t>
  </si>
  <si>
    <t>247102767104</t>
  </si>
  <si>
    <t>光刻机</t>
  </si>
  <si>
    <t>光热发电</t>
  </si>
  <si>
    <t>虫害防治</t>
  </si>
  <si>
    <t>绿色建筑</t>
  </si>
  <si>
    <t>飞行汽车</t>
  </si>
  <si>
    <t>超临界发电</t>
  </si>
  <si>
    <t>高压快充</t>
  </si>
  <si>
    <t>数字孪生</t>
  </si>
  <si>
    <t>华为海思</t>
  </si>
  <si>
    <t>降解塑料</t>
  </si>
  <si>
    <t>地热能</t>
  </si>
  <si>
    <t>新型工业化</t>
  </si>
  <si>
    <t>赛马概念</t>
  </si>
  <si>
    <t>边缘计算</t>
  </si>
  <si>
    <t>土地流转</t>
  </si>
  <si>
    <t>稀土永磁</t>
  </si>
  <si>
    <t>钙钛矿电池</t>
  </si>
  <si>
    <t>国防军工</t>
  </si>
  <si>
    <t>163537895424</t>
  </si>
  <si>
    <t>POE胶膜</t>
  </si>
  <si>
    <t>卫星导航</t>
  </si>
  <si>
    <t>可控核聚变</t>
  </si>
  <si>
    <t>AI眼镜</t>
  </si>
  <si>
    <t>外骨骼机器人</t>
  </si>
  <si>
    <t>智能穿戴</t>
  </si>
  <si>
    <t>118480142336</t>
  </si>
  <si>
    <t>碳纤维概念</t>
  </si>
  <si>
    <t>汽车热管理</t>
  </si>
  <si>
    <t>工业气体</t>
  </si>
  <si>
    <t>AI手机PC</t>
  </si>
  <si>
    <t>汽车拆解</t>
  </si>
  <si>
    <t>商业航天</t>
  </si>
  <si>
    <t>200950251520</t>
  </si>
  <si>
    <t>先进封装</t>
  </si>
  <si>
    <t>166927466496</t>
  </si>
  <si>
    <t>鸡肉</t>
  </si>
  <si>
    <t>MLCC概念</t>
  </si>
  <si>
    <t>5G概念</t>
  </si>
  <si>
    <t>312780652544</t>
  </si>
  <si>
    <t>小米概念</t>
  </si>
  <si>
    <t>169889857536</t>
  </si>
  <si>
    <t>风沙治理</t>
  </si>
  <si>
    <t>人形机器人</t>
  </si>
  <si>
    <t>173404782592</t>
  </si>
  <si>
    <t>军民融合</t>
  </si>
  <si>
    <t>钴金属</t>
  </si>
  <si>
    <t>超导概念</t>
  </si>
  <si>
    <t>BC电池</t>
  </si>
  <si>
    <t>一体压铸</t>
  </si>
  <si>
    <t>存储芯片</t>
  </si>
  <si>
    <t>202411851776</t>
  </si>
  <si>
    <t>芯片</t>
  </si>
  <si>
    <t>571354775552</t>
  </si>
  <si>
    <t>机器视觉</t>
  </si>
  <si>
    <t>HJT电池</t>
  </si>
  <si>
    <t>MCU芯片</t>
  </si>
  <si>
    <t>大飞机</t>
  </si>
  <si>
    <t>星闪概念</t>
  </si>
  <si>
    <t>液冷服务器</t>
  </si>
  <si>
    <t>145053335552</t>
  </si>
  <si>
    <t>苹果概念</t>
  </si>
  <si>
    <t>新型烟草</t>
  </si>
  <si>
    <t>光通信</t>
  </si>
  <si>
    <t>184657887232</t>
  </si>
  <si>
    <t>页岩气</t>
  </si>
  <si>
    <t>CPO概念</t>
  </si>
  <si>
    <t>266325950464</t>
  </si>
  <si>
    <t>TOPCon电池</t>
  </si>
  <si>
    <t>混合现实</t>
  </si>
  <si>
    <t>第三代半导体</t>
  </si>
  <si>
    <t>108445876224</t>
  </si>
  <si>
    <t>6G概念</t>
  </si>
  <si>
    <t>英伟达概念</t>
  </si>
  <si>
    <t>铜缆高速连接</t>
  </si>
  <si>
    <t>减速器</t>
  </si>
  <si>
    <t>镍金属</t>
  </si>
  <si>
    <t>3D打印</t>
  </si>
  <si>
    <t>海洋经济</t>
  </si>
  <si>
    <t>工业母机</t>
  </si>
  <si>
    <t>汽车芯片</t>
  </si>
  <si>
    <t>钒电池</t>
  </si>
  <si>
    <t>天然气</t>
  </si>
  <si>
    <t>稀缺资源</t>
  </si>
  <si>
    <t>种业</t>
  </si>
  <si>
    <t>培育钻石</t>
  </si>
  <si>
    <t>可燃冰</t>
  </si>
  <si>
    <t>#数据来源:通达信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</si>
</sst>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2"/>
  <sheetViews>
    <sheetView tabSelected="1" zoomScaleSheetLayoutView="60" workbookViewId="0">
      <selection activeCell="N7" sqref="N7"/>
    </sheetView>
  </sheetViews>
  <sheetFormatPr defaultColWidth="9" defaultRowHeight="13.5"/>
  <cols>
    <col min="5" max="5" width="17.125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1" t="str">
        <f>"880515"</f>
        <v>880515</v>
      </c>
      <c r="B3" s="1" t="s">
        <v>13</v>
      </c>
      <c r="C3" s="1">
        <v>-0.72</v>
      </c>
      <c r="D3" s="1">
        <v>2562.47</v>
      </c>
      <c r="E3" s="3" t="s">
        <v>14</v>
      </c>
      <c r="F3" s="1">
        <v>-3.04</v>
      </c>
      <c r="G3" s="1">
        <v>-2.75</v>
      </c>
      <c r="H3" s="1">
        <v>-1.91</v>
      </c>
      <c r="I3" s="1">
        <v>-0.29</v>
      </c>
      <c r="J3" s="1">
        <v>88</v>
      </c>
      <c r="K3" s="1"/>
      <c r="L3" s="1">
        <v>0</v>
      </c>
    </row>
    <row r="4" spans="1:12">
      <c r="A4" s="1" t="str">
        <f>"880501"</f>
        <v>880501</v>
      </c>
      <c r="B4" s="1" t="s">
        <v>15</v>
      </c>
      <c r="C4" s="1">
        <v>-0.76</v>
      </c>
      <c r="D4" s="1">
        <v>2189.19</v>
      </c>
      <c r="E4" s="3" t="s">
        <v>16</v>
      </c>
      <c r="F4" s="1">
        <v>-1.14</v>
      </c>
      <c r="G4" s="1">
        <v>-0.63</v>
      </c>
      <c r="H4" s="1">
        <v>0</v>
      </c>
      <c r="I4" s="1">
        <v>-0.52</v>
      </c>
      <c r="J4" s="1">
        <v>210</v>
      </c>
      <c r="K4" s="1"/>
      <c r="L4" s="1">
        <v>0</v>
      </c>
    </row>
    <row r="5" spans="1:12">
      <c r="A5" s="1" t="str">
        <f>"880668"</f>
        <v>880668</v>
      </c>
      <c r="B5" s="1" t="s">
        <v>17</v>
      </c>
      <c r="C5" s="1">
        <v>-1.19</v>
      </c>
      <c r="D5" s="1">
        <v>1197.42</v>
      </c>
      <c r="E5" s="2">
        <v>13385534464</v>
      </c>
      <c r="F5" s="1">
        <v>3.75</v>
      </c>
      <c r="G5" s="1">
        <v>3.91</v>
      </c>
      <c r="H5" s="1">
        <v>3.72</v>
      </c>
      <c r="I5" s="1">
        <v>-0.16</v>
      </c>
      <c r="J5" s="1">
        <v>22</v>
      </c>
      <c r="K5" s="1"/>
      <c r="L5" s="1">
        <v>0</v>
      </c>
    </row>
    <row r="6" spans="1:12">
      <c r="A6" s="1" t="str">
        <f>"880960"</f>
        <v>880960</v>
      </c>
      <c r="B6" s="1" t="s">
        <v>18</v>
      </c>
      <c r="C6" s="1">
        <v>-1.19</v>
      </c>
      <c r="D6" s="1">
        <v>1138.88</v>
      </c>
      <c r="E6" s="1">
        <v>20511037440</v>
      </c>
      <c r="F6" s="1">
        <v>-1.97</v>
      </c>
      <c r="G6" s="1">
        <v>-1.36</v>
      </c>
      <c r="H6" s="1">
        <v>-0.04</v>
      </c>
      <c r="I6" s="1">
        <v>-0.61</v>
      </c>
      <c r="J6" s="1">
        <v>73</v>
      </c>
      <c r="K6" s="1"/>
      <c r="L6" s="1">
        <v>0</v>
      </c>
    </row>
    <row r="7" spans="1:12">
      <c r="A7" s="1" t="str">
        <f>"880766"</f>
        <v>880766</v>
      </c>
      <c r="B7" s="1" t="s">
        <v>19</v>
      </c>
      <c r="C7" s="1">
        <v>-1.31</v>
      </c>
      <c r="D7" s="1">
        <v>912.32</v>
      </c>
      <c r="E7" s="1">
        <v>16465873920</v>
      </c>
      <c r="F7" s="1">
        <v>-0.61</v>
      </c>
      <c r="G7" s="1">
        <v>0.08</v>
      </c>
      <c r="H7" s="1">
        <v>1.75</v>
      </c>
      <c r="I7" s="1">
        <v>-0.7</v>
      </c>
      <c r="J7" s="1">
        <v>74</v>
      </c>
      <c r="K7" s="1"/>
      <c r="L7" s="1">
        <v>0</v>
      </c>
    </row>
    <row r="8" spans="1:12">
      <c r="A8" s="1" t="str">
        <f>"880564"</f>
        <v>880564</v>
      </c>
      <c r="B8" s="1" t="s">
        <v>20</v>
      </c>
      <c r="C8" s="1">
        <v>-1.34</v>
      </c>
      <c r="D8" s="1">
        <v>6185.19</v>
      </c>
      <c r="E8" s="1">
        <v>21139486720</v>
      </c>
      <c r="F8" s="1">
        <v>-0.95</v>
      </c>
      <c r="G8" s="1">
        <v>0.02</v>
      </c>
      <c r="H8" s="1">
        <v>1.2</v>
      </c>
      <c r="I8" s="1">
        <v>-0.97</v>
      </c>
      <c r="J8" s="1">
        <v>49</v>
      </c>
      <c r="K8" s="1"/>
      <c r="L8" s="1">
        <v>0</v>
      </c>
    </row>
    <row r="9" spans="1:12">
      <c r="A9" s="1" t="str">
        <f>"880557"</f>
        <v>880557</v>
      </c>
      <c r="B9" s="1" t="s">
        <v>21</v>
      </c>
      <c r="C9" s="1">
        <v>-1.34</v>
      </c>
      <c r="D9" s="1">
        <v>2761.96</v>
      </c>
      <c r="E9" s="1">
        <v>17927682048</v>
      </c>
      <c r="F9" s="1">
        <v>-0.46</v>
      </c>
      <c r="G9" s="1">
        <v>0.27</v>
      </c>
      <c r="H9" s="1">
        <v>1.67</v>
      </c>
      <c r="I9" s="1">
        <v>-0.72</v>
      </c>
      <c r="J9" s="1">
        <v>69</v>
      </c>
      <c r="K9" s="1"/>
      <c r="L9" s="1">
        <v>0</v>
      </c>
    </row>
    <row r="10" spans="1:12">
      <c r="A10" s="1" t="str">
        <f>"880959"</f>
        <v>880959</v>
      </c>
      <c r="B10" s="1" t="s">
        <v>22</v>
      </c>
      <c r="C10" s="1">
        <v>-1.36</v>
      </c>
      <c r="D10" s="1">
        <v>1075.24</v>
      </c>
      <c r="E10" s="1">
        <v>24516079616</v>
      </c>
      <c r="F10" s="1">
        <v>3.17</v>
      </c>
      <c r="G10" s="1">
        <v>3.38</v>
      </c>
      <c r="H10" s="1">
        <v>3.47</v>
      </c>
      <c r="I10" s="1">
        <v>-0.21</v>
      </c>
      <c r="J10" s="1">
        <v>51</v>
      </c>
      <c r="K10" s="1"/>
      <c r="L10" s="1">
        <v>0</v>
      </c>
    </row>
    <row r="11" spans="1:12">
      <c r="A11" s="1" t="str">
        <f>"880623"</f>
        <v>880623</v>
      </c>
      <c r="B11" s="1" t="s">
        <v>23</v>
      </c>
      <c r="C11" s="1">
        <v>-1.37</v>
      </c>
      <c r="D11" s="1">
        <v>1133.45</v>
      </c>
      <c r="E11" s="1">
        <v>31142062080</v>
      </c>
      <c r="F11" s="1">
        <v>-1.63</v>
      </c>
      <c r="G11" s="1">
        <v>-0.95</v>
      </c>
      <c r="H11" s="1">
        <v>0.73</v>
      </c>
      <c r="I11" s="1">
        <v>-0.68</v>
      </c>
      <c r="J11" s="1">
        <v>137</v>
      </c>
      <c r="K11" s="1"/>
      <c r="L11" s="1">
        <v>0</v>
      </c>
    </row>
    <row r="12" spans="1:12">
      <c r="A12" s="1" t="str">
        <f>"880606"</f>
        <v>880606</v>
      </c>
      <c r="B12" s="1" t="s">
        <v>24</v>
      </c>
      <c r="C12" s="1">
        <v>-1.41</v>
      </c>
      <c r="D12" s="1">
        <v>976.33</v>
      </c>
      <c r="E12" s="1">
        <v>20064667648</v>
      </c>
      <c r="F12" s="1">
        <v>-1.33</v>
      </c>
      <c r="G12" s="1">
        <v>-0.54</v>
      </c>
      <c r="H12" s="1">
        <v>1.09</v>
      </c>
      <c r="I12" s="1">
        <v>-0.78</v>
      </c>
      <c r="J12" s="1">
        <v>75</v>
      </c>
      <c r="K12" s="1"/>
      <c r="L12" s="1">
        <v>0</v>
      </c>
    </row>
    <row r="13" spans="1:12">
      <c r="A13" s="1" t="str">
        <f>"880681"</f>
        <v>880681</v>
      </c>
      <c r="B13" s="1" t="s">
        <v>25</v>
      </c>
      <c r="C13" s="1">
        <v>-1.43</v>
      </c>
      <c r="D13" s="1">
        <v>1199.22</v>
      </c>
      <c r="E13" s="1">
        <v>20248315904</v>
      </c>
      <c r="F13" s="1">
        <v>-2.77</v>
      </c>
      <c r="G13" s="1">
        <v>-2.01</v>
      </c>
      <c r="H13" s="1">
        <v>-0.48</v>
      </c>
      <c r="I13" s="1">
        <v>-0.76</v>
      </c>
      <c r="J13" s="1">
        <v>65</v>
      </c>
      <c r="K13" s="1"/>
      <c r="L13" s="1">
        <v>0</v>
      </c>
    </row>
    <row r="14" spans="1:12">
      <c r="A14" s="1" t="str">
        <f>"880920"</f>
        <v>880920</v>
      </c>
      <c r="B14" s="1" t="s">
        <v>26</v>
      </c>
      <c r="C14" s="1">
        <v>-1.49</v>
      </c>
      <c r="D14" s="1">
        <v>1127.52</v>
      </c>
      <c r="E14" s="1">
        <v>24467730432</v>
      </c>
      <c r="F14" s="1">
        <v>-0.62</v>
      </c>
      <c r="G14" s="1">
        <v>0.11</v>
      </c>
      <c r="H14" s="1">
        <v>2.11</v>
      </c>
      <c r="I14" s="1">
        <v>-0.74</v>
      </c>
      <c r="J14" s="1">
        <v>64</v>
      </c>
      <c r="K14" s="1"/>
      <c r="L14" s="1">
        <v>0</v>
      </c>
    </row>
    <row r="15" spans="1:12">
      <c r="A15" s="1" t="str">
        <f>"880652"</f>
        <v>880652</v>
      </c>
      <c r="B15" s="1" t="s">
        <v>27</v>
      </c>
      <c r="C15" s="1">
        <v>-1.51</v>
      </c>
      <c r="D15" s="1">
        <v>1082.89</v>
      </c>
      <c r="E15" s="1">
        <v>74674683904</v>
      </c>
      <c r="F15" s="1">
        <v>-2.32</v>
      </c>
      <c r="G15" s="1">
        <v>-1.61</v>
      </c>
      <c r="H15" s="1">
        <v>0.01</v>
      </c>
      <c r="I15" s="1">
        <v>-0.71</v>
      </c>
      <c r="J15" s="1">
        <v>280</v>
      </c>
      <c r="K15" s="1"/>
      <c r="L15" s="1">
        <v>0</v>
      </c>
    </row>
    <row r="16" spans="1:12">
      <c r="A16" s="1" t="str">
        <f>"880913"</f>
        <v>880913</v>
      </c>
      <c r="B16" s="1" t="s">
        <v>28</v>
      </c>
      <c r="C16" s="1">
        <v>-1.6</v>
      </c>
      <c r="D16" s="1">
        <v>2639.95</v>
      </c>
      <c r="E16" s="1">
        <v>34806644736</v>
      </c>
      <c r="F16" s="1">
        <v>-1.66</v>
      </c>
      <c r="G16" s="1">
        <v>-0.96</v>
      </c>
      <c r="H16" s="1">
        <v>0.84</v>
      </c>
      <c r="I16" s="1">
        <v>-0.7</v>
      </c>
      <c r="J16" s="1">
        <v>113</v>
      </c>
      <c r="K16" s="1"/>
      <c r="L16" s="1">
        <v>0</v>
      </c>
    </row>
    <row r="17" spans="1:12">
      <c r="A17" s="1" t="str">
        <f>"880929"</f>
        <v>880929</v>
      </c>
      <c r="B17" s="1" t="s">
        <v>29</v>
      </c>
      <c r="C17" s="1">
        <v>-1.62</v>
      </c>
      <c r="D17" s="1">
        <v>1623.4</v>
      </c>
      <c r="E17" s="1">
        <v>17153963008</v>
      </c>
      <c r="F17" s="1">
        <v>-1.29</v>
      </c>
      <c r="G17" s="1">
        <v>-0.42</v>
      </c>
      <c r="H17" s="1">
        <v>1.19</v>
      </c>
      <c r="I17" s="1">
        <v>-0.87</v>
      </c>
      <c r="J17" s="1">
        <v>77</v>
      </c>
      <c r="K17" s="1"/>
      <c r="L17" s="1">
        <v>0</v>
      </c>
    </row>
    <row r="18" spans="1:12">
      <c r="A18" s="1" t="str">
        <f>"880671"</f>
        <v>880671</v>
      </c>
      <c r="B18" s="1" t="s">
        <v>30</v>
      </c>
      <c r="C18" s="1">
        <v>-1.77</v>
      </c>
      <c r="D18" s="1">
        <v>1151.33</v>
      </c>
      <c r="E18" s="3" t="s">
        <v>31</v>
      </c>
      <c r="F18" s="1">
        <v>-0.02</v>
      </c>
      <c r="G18" s="1">
        <v>1.3</v>
      </c>
      <c r="H18" s="1">
        <v>1.49</v>
      </c>
      <c r="I18" s="1">
        <v>-1.32</v>
      </c>
      <c r="J18" s="1">
        <v>98</v>
      </c>
      <c r="K18" s="1"/>
      <c r="L18" s="1">
        <v>0</v>
      </c>
    </row>
    <row r="19" spans="1:12">
      <c r="A19" s="1" t="str">
        <f>"880599"</f>
        <v>880599</v>
      </c>
      <c r="B19" s="1" t="s">
        <v>32</v>
      </c>
      <c r="C19" s="1">
        <v>-1.82</v>
      </c>
      <c r="D19" s="1">
        <v>2025.01</v>
      </c>
      <c r="E19" s="1">
        <v>19035820032</v>
      </c>
      <c r="F19" s="1">
        <v>-1.97</v>
      </c>
      <c r="G19" s="1">
        <v>-1.09</v>
      </c>
      <c r="H19" s="1">
        <v>0.56</v>
      </c>
      <c r="I19" s="1">
        <v>-0.88</v>
      </c>
      <c r="J19" s="1">
        <v>78</v>
      </c>
      <c r="K19" s="1"/>
      <c r="L19" s="1">
        <v>0</v>
      </c>
    </row>
    <row r="20" spans="1:12">
      <c r="A20" s="1" t="str">
        <f>"880973"</f>
        <v>880973</v>
      </c>
      <c r="B20" s="1" t="s">
        <v>33</v>
      </c>
      <c r="C20" s="1">
        <v>-1.84</v>
      </c>
      <c r="D20" s="1">
        <v>1040.28</v>
      </c>
      <c r="E20" s="1">
        <v>17523810304</v>
      </c>
      <c r="F20" s="1">
        <v>-2.4</v>
      </c>
      <c r="G20" s="1">
        <v>-1.48</v>
      </c>
      <c r="H20" s="1">
        <v>0.03</v>
      </c>
      <c r="I20" s="1">
        <v>-0.92</v>
      </c>
      <c r="J20" s="1">
        <v>108</v>
      </c>
      <c r="K20" s="1"/>
      <c r="L20" s="1">
        <v>0</v>
      </c>
    </row>
    <row r="21" spans="1:12">
      <c r="A21" s="1" t="str">
        <f>"880729"</f>
        <v>880729</v>
      </c>
      <c r="B21" s="1" t="s">
        <v>34</v>
      </c>
      <c r="C21" s="1">
        <v>-1.86</v>
      </c>
      <c r="D21" s="1">
        <v>961.41</v>
      </c>
      <c r="E21" s="1">
        <v>33564352512</v>
      </c>
      <c r="F21" s="1">
        <v>-1.72</v>
      </c>
      <c r="G21" s="1">
        <v>-0.65</v>
      </c>
      <c r="H21" s="1">
        <v>1.65</v>
      </c>
      <c r="I21" s="1">
        <v>-1.07</v>
      </c>
      <c r="J21" s="1">
        <v>80</v>
      </c>
      <c r="K21" s="1"/>
      <c r="L21" s="1">
        <v>0</v>
      </c>
    </row>
    <row r="22" spans="1:12">
      <c r="A22" s="1" t="str">
        <f>"880745"</f>
        <v>880745</v>
      </c>
      <c r="B22" s="1" t="s">
        <v>35</v>
      </c>
      <c r="C22" s="1">
        <v>-1.97</v>
      </c>
      <c r="D22" s="1">
        <v>1470.74</v>
      </c>
      <c r="E22" s="1">
        <v>5224781824</v>
      </c>
      <c r="F22" s="1">
        <v>-2.72</v>
      </c>
      <c r="G22" s="1">
        <v>-1.7</v>
      </c>
      <c r="H22" s="1">
        <v>-0.32</v>
      </c>
      <c r="I22" s="1">
        <v>-1.02</v>
      </c>
      <c r="J22" s="1">
        <v>28</v>
      </c>
      <c r="K22" s="1"/>
      <c r="L22" s="1">
        <v>0</v>
      </c>
    </row>
    <row r="23" spans="1:12">
      <c r="A23" s="1" t="str">
        <f>"880609"</f>
        <v>880609</v>
      </c>
      <c r="B23" s="1" t="s">
        <v>36</v>
      </c>
      <c r="C23" s="1">
        <v>-1.97</v>
      </c>
      <c r="D23" s="1">
        <v>1343.44</v>
      </c>
      <c r="E23" s="1">
        <v>35453476864</v>
      </c>
      <c r="F23" s="1">
        <v>-0.47</v>
      </c>
      <c r="G23" s="1">
        <v>0.36</v>
      </c>
      <c r="H23" s="1">
        <v>1.03</v>
      </c>
      <c r="I23" s="1">
        <v>-0.83</v>
      </c>
      <c r="J23" s="1">
        <v>75</v>
      </c>
      <c r="K23" s="1"/>
      <c r="L23" s="1">
        <v>0</v>
      </c>
    </row>
    <row r="24" spans="1:12">
      <c r="A24" s="1" t="str">
        <f>"880524"</f>
        <v>880524</v>
      </c>
      <c r="B24" s="1" t="s">
        <v>37</v>
      </c>
      <c r="C24" s="1">
        <v>-2.05</v>
      </c>
      <c r="D24" s="1">
        <v>1457.72</v>
      </c>
      <c r="E24" s="1">
        <v>73598066688</v>
      </c>
      <c r="F24" s="1">
        <v>-3.98</v>
      </c>
      <c r="G24" s="1">
        <v>-3.16</v>
      </c>
      <c r="H24" s="1">
        <v>-2.45</v>
      </c>
      <c r="I24" s="1">
        <v>-0.82</v>
      </c>
      <c r="J24" s="1">
        <v>313</v>
      </c>
      <c r="K24" s="1"/>
      <c r="L24" s="1">
        <v>0</v>
      </c>
    </row>
    <row r="25" spans="1:12">
      <c r="A25" s="1" t="str">
        <f>"880634"</f>
        <v>880634</v>
      </c>
      <c r="B25" s="1" t="s">
        <v>38</v>
      </c>
      <c r="C25" s="1">
        <v>-2.06</v>
      </c>
      <c r="D25" s="1">
        <v>939.43</v>
      </c>
      <c r="E25" s="1">
        <v>18415630336</v>
      </c>
      <c r="F25" s="1">
        <v>-4</v>
      </c>
      <c r="G25" s="1">
        <v>-3</v>
      </c>
      <c r="H25" s="1">
        <v>-1.99</v>
      </c>
      <c r="I25" s="1">
        <v>-1</v>
      </c>
      <c r="J25" s="1">
        <v>23</v>
      </c>
      <c r="K25" s="1"/>
      <c r="L25" s="1">
        <v>0</v>
      </c>
    </row>
    <row r="26" spans="1:12">
      <c r="A26" s="1" t="str">
        <f>"880593"</f>
        <v>880593</v>
      </c>
      <c r="B26" s="1" t="s">
        <v>39</v>
      </c>
      <c r="C26" s="1">
        <v>-2.08</v>
      </c>
      <c r="D26" s="1">
        <v>2534.14</v>
      </c>
      <c r="E26" s="1">
        <v>38218022912</v>
      </c>
      <c r="F26" s="1">
        <v>-1.3</v>
      </c>
      <c r="G26" s="1">
        <v>-0.28</v>
      </c>
      <c r="H26" s="1">
        <v>1.09</v>
      </c>
      <c r="I26" s="1">
        <v>-1.02</v>
      </c>
      <c r="J26" s="1">
        <v>212</v>
      </c>
      <c r="K26" s="1"/>
      <c r="L26" s="1">
        <v>0</v>
      </c>
    </row>
    <row r="27" spans="1:12">
      <c r="A27" s="1" t="str">
        <f>"880704"</f>
        <v>880704</v>
      </c>
      <c r="B27" s="1" t="s">
        <v>40</v>
      </c>
      <c r="C27" s="1">
        <v>-2.11</v>
      </c>
      <c r="D27" s="1">
        <v>834.27</v>
      </c>
      <c r="E27" s="1">
        <v>12795081728</v>
      </c>
      <c r="F27" s="1">
        <v>-2.07</v>
      </c>
      <c r="G27" s="1">
        <v>-0.93</v>
      </c>
      <c r="H27" s="1">
        <v>0.51</v>
      </c>
      <c r="I27" s="1">
        <v>-1.14</v>
      </c>
      <c r="J27" s="1">
        <v>53</v>
      </c>
      <c r="K27" s="1"/>
      <c r="L27" s="1">
        <v>0</v>
      </c>
    </row>
    <row r="28" spans="1:12">
      <c r="A28" s="1" t="str">
        <f>"880598"</f>
        <v>880598</v>
      </c>
      <c r="B28" s="1" t="s">
        <v>41</v>
      </c>
      <c r="C28" s="1">
        <v>-2.14</v>
      </c>
      <c r="D28" s="1">
        <v>2239.15</v>
      </c>
      <c r="E28" s="1">
        <v>4639400960</v>
      </c>
      <c r="F28" s="1">
        <v>0.12</v>
      </c>
      <c r="G28" s="1">
        <v>1.05</v>
      </c>
      <c r="H28" s="1">
        <v>1.15</v>
      </c>
      <c r="I28" s="1">
        <v>-0.93</v>
      </c>
      <c r="J28" s="1">
        <v>19</v>
      </c>
      <c r="K28" s="1"/>
      <c r="L28" s="1">
        <v>0</v>
      </c>
    </row>
    <row r="29" spans="1:12">
      <c r="A29" s="1" t="str">
        <f>"880615"</f>
        <v>880615</v>
      </c>
      <c r="B29" s="1" t="s">
        <v>42</v>
      </c>
      <c r="C29" s="1">
        <v>-2.17</v>
      </c>
      <c r="D29" s="1">
        <v>1063.09</v>
      </c>
      <c r="E29" s="1">
        <v>9726485504</v>
      </c>
      <c r="F29" s="1">
        <v>0.05</v>
      </c>
      <c r="G29" s="1">
        <v>1.07</v>
      </c>
      <c r="H29" s="1">
        <v>2.41</v>
      </c>
      <c r="I29" s="1">
        <v>-1.02</v>
      </c>
      <c r="J29" s="1">
        <v>24</v>
      </c>
      <c r="K29" s="1"/>
      <c r="L29" s="1">
        <v>0</v>
      </c>
    </row>
    <row r="30" spans="1:12">
      <c r="A30" s="1" t="str">
        <f>"880747"</f>
        <v>880747</v>
      </c>
      <c r="B30" s="1" t="s">
        <v>43</v>
      </c>
      <c r="C30" s="1">
        <v>-2.23</v>
      </c>
      <c r="D30" s="1">
        <v>1123.17</v>
      </c>
      <c r="E30" s="1">
        <v>40752103424</v>
      </c>
      <c r="F30" s="1">
        <v>-1.89</v>
      </c>
      <c r="G30" s="1">
        <v>-1</v>
      </c>
      <c r="H30" s="1">
        <v>0.5</v>
      </c>
      <c r="I30" s="1">
        <v>-0.89</v>
      </c>
      <c r="J30" s="1">
        <v>115</v>
      </c>
      <c r="K30" s="1"/>
      <c r="L30" s="1">
        <v>0</v>
      </c>
    </row>
    <row r="31" spans="1:12">
      <c r="A31" s="1" t="str">
        <f>"880707"</f>
        <v>880707</v>
      </c>
      <c r="B31" s="1" t="s">
        <v>44</v>
      </c>
      <c r="C31" s="1">
        <v>-2.24</v>
      </c>
      <c r="D31" s="1">
        <v>1185.98</v>
      </c>
      <c r="E31" s="1">
        <v>19597230080</v>
      </c>
      <c r="F31" s="1">
        <v>-1.78</v>
      </c>
      <c r="G31" s="1">
        <v>-0.59</v>
      </c>
      <c r="H31" s="1">
        <v>0.83</v>
      </c>
      <c r="I31" s="1">
        <v>-1.18</v>
      </c>
      <c r="J31" s="1">
        <v>128</v>
      </c>
      <c r="K31" s="1"/>
      <c r="L31" s="1">
        <v>0</v>
      </c>
    </row>
    <row r="32" spans="1:12">
      <c r="A32" s="1" t="str">
        <f>"880530"</f>
        <v>880530</v>
      </c>
      <c r="B32" s="1" t="s">
        <v>45</v>
      </c>
      <c r="C32" s="1">
        <v>-2.24</v>
      </c>
      <c r="D32" s="1">
        <v>1213.75</v>
      </c>
      <c r="E32" s="1">
        <v>41863753728</v>
      </c>
      <c r="F32" s="1">
        <v>-1.9</v>
      </c>
      <c r="G32" s="1">
        <v>-0.77</v>
      </c>
      <c r="H32" s="1">
        <v>0.95</v>
      </c>
      <c r="I32" s="1">
        <v>-1.13</v>
      </c>
      <c r="J32" s="1">
        <v>169</v>
      </c>
      <c r="K32" s="1"/>
      <c r="L32" s="1">
        <v>0</v>
      </c>
    </row>
    <row r="33" spans="1:12">
      <c r="A33" s="1" t="str">
        <f>"880617"</f>
        <v>880617</v>
      </c>
      <c r="B33" s="1" t="s">
        <v>46</v>
      </c>
      <c r="C33" s="1">
        <v>-2.28</v>
      </c>
      <c r="D33" s="1">
        <v>1096.47</v>
      </c>
      <c r="E33" s="1">
        <v>63650971648</v>
      </c>
      <c r="F33" s="1">
        <v>0.67</v>
      </c>
      <c r="G33" s="1">
        <v>1.72</v>
      </c>
      <c r="H33" s="1">
        <v>2.05</v>
      </c>
      <c r="I33" s="1">
        <v>-1.05</v>
      </c>
      <c r="J33" s="1">
        <v>195</v>
      </c>
      <c r="K33" s="1"/>
      <c r="L33" s="1">
        <v>0</v>
      </c>
    </row>
    <row r="34" spans="1:12">
      <c r="A34" s="1" t="str">
        <f>"880592"</f>
        <v>880592</v>
      </c>
      <c r="B34" s="1" t="s">
        <v>47</v>
      </c>
      <c r="C34" s="1">
        <v>-2.3</v>
      </c>
      <c r="D34" s="1">
        <v>2658.33</v>
      </c>
      <c r="E34" s="1">
        <v>55024357376</v>
      </c>
      <c r="F34" s="1">
        <v>-1.19</v>
      </c>
      <c r="G34" s="1">
        <v>-0.14</v>
      </c>
      <c r="H34" s="1">
        <v>0.55</v>
      </c>
      <c r="I34" s="1">
        <v>-1.05</v>
      </c>
      <c r="J34" s="1">
        <v>212</v>
      </c>
      <c r="K34" s="1"/>
      <c r="L34" s="1">
        <v>0</v>
      </c>
    </row>
    <row r="35" spans="1:12">
      <c r="A35" s="1" t="str">
        <f>"880596"</f>
        <v>880596</v>
      </c>
      <c r="B35" s="1" t="s">
        <v>48</v>
      </c>
      <c r="C35" s="1">
        <v>-2.33</v>
      </c>
      <c r="D35" s="1">
        <v>1558.48</v>
      </c>
      <c r="E35" s="1">
        <v>29611087872</v>
      </c>
      <c r="F35" s="1">
        <v>-1.23</v>
      </c>
      <c r="G35" s="1">
        <v>-0.12</v>
      </c>
      <c r="H35" s="1">
        <v>0.84</v>
      </c>
      <c r="I35" s="1">
        <v>-1.12</v>
      </c>
      <c r="J35" s="1">
        <v>131</v>
      </c>
      <c r="K35" s="1"/>
      <c r="L35" s="1">
        <v>0</v>
      </c>
    </row>
    <row r="36" spans="1:12">
      <c r="A36" s="1" t="str">
        <f>"880967"</f>
        <v>880967</v>
      </c>
      <c r="B36" s="1" t="s">
        <v>49</v>
      </c>
      <c r="C36" s="1">
        <v>-2.34</v>
      </c>
      <c r="D36" s="1">
        <v>1581.5</v>
      </c>
      <c r="E36" s="1">
        <v>23055900672</v>
      </c>
      <c r="F36" s="1">
        <v>-1.19</v>
      </c>
      <c r="G36" s="1">
        <v>-0.39</v>
      </c>
      <c r="H36" s="1">
        <v>0.11</v>
      </c>
      <c r="I36" s="1">
        <v>-0.81</v>
      </c>
      <c r="J36" s="1">
        <v>100</v>
      </c>
      <c r="K36" s="1"/>
      <c r="L36" s="1">
        <v>0</v>
      </c>
    </row>
    <row r="37" spans="1:12">
      <c r="A37" s="1" t="str">
        <f>"880590"</f>
        <v>880590</v>
      </c>
      <c r="B37" s="1" t="s">
        <v>50</v>
      </c>
      <c r="C37" s="1">
        <v>-2.37</v>
      </c>
      <c r="D37" s="1">
        <v>1385.38</v>
      </c>
      <c r="E37" s="1">
        <v>53451227136</v>
      </c>
      <c r="F37" s="1">
        <v>0.24</v>
      </c>
      <c r="G37" s="1">
        <v>1.1</v>
      </c>
      <c r="H37" s="1">
        <v>0.74</v>
      </c>
      <c r="I37" s="1">
        <v>-0.86</v>
      </c>
      <c r="J37" s="1">
        <v>102</v>
      </c>
      <c r="K37" s="1"/>
      <c r="L37" s="1">
        <v>0</v>
      </c>
    </row>
    <row r="38" spans="1:12">
      <c r="A38" s="1" t="str">
        <f>"880647"</f>
        <v>880647</v>
      </c>
      <c r="B38" s="1" t="s">
        <v>51</v>
      </c>
      <c r="C38" s="1">
        <v>-2.4</v>
      </c>
      <c r="D38" s="1">
        <v>1350.71</v>
      </c>
      <c r="E38" s="1">
        <v>19651170304</v>
      </c>
      <c r="F38" s="1">
        <v>-0.22</v>
      </c>
      <c r="G38" s="1">
        <v>0.69</v>
      </c>
      <c r="H38" s="1">
        <v>1.19</v>
      </c>
      <c r="I38" s="1">
        <v>-0.9</v>
      </c>
      <c r="J38" s="1">
        <v>67</v>
      </c>
      <c r="K38" s="1"/>
      <c r="L38" s="1">
        <v>0</v>
      </c>
    </row>
    <row r="39" spans="1:12">
      <c r="A39" s="1" t="str">
        <f>"880613"</f>
        <v>880613</v>
      </c>
      <c r="B39" s="1" t="s">
        <v>52</v>
      </c>
      <c r="C39" s="1">
        <v>-2.4</v>
      </c>
      <c r="D39" s="1">
        <v>1155.76</v>
      </c>
      <c r="E39" s="1">
        <v>5619211264</v>
      </c>
      <c r="F39" s="1">
        <v>-1.06</v>
      </c>
      <c r="G39" s="1">
        <v>-0.17</v>
      </c>
      <c r="H39" s="1">
        <v>0.62</v>
      </c>
      <c r="I39" s="1">
        <v>-0.89</v>
      </c>
      <c r="J39" s="1">
        <v>43</v>
      </c>
      <c r="K39" s="1"/>
      <c r="L39" s="1">
        <v>0</v>
      </c>
    </row>
    <row r="40" spans="1:12">
      <c r="A40" s="1" t="str">
        <f>"880791"</f>
        <v>880791</v>
      </c>
      <c r="B40" s="1" t="s">
        <v>53</v>
      </c>
      <c r="C40" s="1">
        <v>-2.4</v>
      </c>
      <c r="D40" s="1">
        <v>1013.21</v>
      </c>
      <c r="E40" s="1">
        <v>34330755072</v>
      </c>
      <c r="F40" s="1">
        <v>-0.17</v>
      </c>
      <c r="G40" s="1">
        <v>1.11</v>
      </c>
      <c r="H40" s="1">
        <v>1.78</v>
      </c>
      <c r="I40" s="1">
        <v>-1.28</v>
      </c>
      <c r="J40" s="1">
        <v>119</v>
      </c>
      <c r="K40" s="1"/>
      <c r="L40" s="1">
        <v>0</v>
      </c>
    </row>
    <row r="41" spans="1:12">
      <c r="A41" s="1" t="str">
        <f>"880597"</f>
        <v>880597</v>
      </c>
      <c r="B41" s="1" t="s">
        <v>54</v>
      </c>
      <c r="C41" s="1">
        <v>-2.43</v>
      </c>
      <c r="D41" s="1">
        <v>1385.33</v>
      </c>
      <c r="E41" s="1">
        <v>41921167360</v>
      </c>
      <c r="F41" s="1">
        <v>-1.53</v>
      </c>
      <c r="G41" s="1">
        <v>-0.35</v>
      </c>
      <c r="H41" s="1">
        <v>0.85</v>
      </c>
      <c r="I41" s="1">
        <v>-1.18</v>
      </c>
      <c r="J41" s="1">
        <v>218</v>
      </c>
      <c r="K41" s="1"/>
      <c r="L41" s="1">
        <v>0</v>
      </c>
    </row>
    <row r="42" spans="1:12">
      <c r="A42" s="1" t="str">
        <f>"880692"</f>
        <v>880692</v>
      </c>
      <c r="B42" s="1" t="s">
        <v>55</v>
      </c>
      <c r="C42" s="1">
        <v>-2.43</v>
      </c>
      <c r="D42" s="1">
        <v>1218.84</v>
      </c>
      <c r="E42" s="1">
        <v>56440684544</v>
      </c>
      <c r="F42" s="1">
        <v>2.66</v>
      </c>
      <c r="G42" s="1">
        <v>3.41</v>
      </c>
      <c r="H42" s="1">
        <v>2.98</v>
      </c>
      <c r="I42" s="1">
        <v>-0.76</v>
      </c>
      <c r="J42" s="1">
        <v>94</v>
      </c>
      <c r="K42" s="1"/>
      <c r="L42" s="1">
        <v>0</v>
      </c>
    </row>
    <row r="43" spans="1:12">
      <c r="A43" s="1" t="str">
        <f>"880604"</f>
        <v>880604</v>
      </c>
      <c r="B43" s="1" t="s">
        <v>56</v>
      </c>
      <c r="C43" s="1">
        <v>-2.45</v>
      </c>
      <c r="D43" s="1">
        <v>1241.71</v>
      </c>
      <c r="E43" s="1">
        <v>8767123456</v>
      </c>
      <c r="F43" s="1">
        <v>-4.19</v>
      </c>
      <c r="G43" s="1">
        <v>-3.28</v>
      </c>
      <c r="H43" s="1">
        <v>-2.18</v>
      </c>
      <c r="I43" s="1">
        <v>-0.91</v>
      </c>
      <c r="J43" s="1">
        <v>16</v>
      </c>
      <c r="K43" s="1"/>
      <c r="L43" s="1">
        <v>0</v>
      </c>
    </row>
    <row r="44" spans="1:12">
      <c r="A44" s="1" t="str">
        <f>"880572"</f>
        <v>880572</v>
      </c>
      <c r="B44" s="1" t="s">
        <v>57</v>
      </c>
      <c r="C44" s="1">
        <v>-2.45</v>
      </c>
      <c r="D44" s="1">
        <v>1198.96</v>
      </c>
      <c r="E44" s="1">
        <v>63247409152</v>
      </c>
      <c r="F44" s="1">
        <v>-1.55</v>
      </c>
      <c r="G44" s="1">
        <v>-0.16</v>
      </c>
      <c r="H44" s="1">
        <v>1.18</v>
      </c>
      <c r="I44" s="1">
        <v>-1.39</v>
      </c>
      <c r="J44" s="1">
        <v>329</v>
      </c>
      <c r="K44" s="1"/>
      <c r="L44" s="1">
        <v>0</v>
      </c>
    </row>
    <row r="45" spans="1:12">
      <c r="A45" s="1" t="str">
        <f>"880749"</f>
        <v>880749</v>
      </c>
      <c r="B45" s="1" t="s">
        <v>58</v>
      </c>
      <c r="C45" s="1">
        <v>-2.45</v>
      </c>
      <c r="D45" s="1">
        <v>1655.84</v>
      </c>
      <c r="E45" s="1">
        <v>16581212160</v>
      </c>
      <c r="F45" s="1">
        <v>-0.63</v>
      </c>
      <c r="G45" s="1">
        <v>0.16</v>
      </c>
      <c r="H45" s="1">
        <v>-0.25</v>
      </c>
      <c r="I45" s="1">
        <v>-0.78</v>
      </c>
      <c r="J45" s="1">
        <v>27</v>
      </c>
      <c r="K45" s="1"/>
      <c r="L45" s="1">
        <v>0</v>
      </c>
    </row>
    <row r="46" spans="1:12">
      <c r="A46" s="1" t="str">
        <f>"880946"</f>
        <v>880946</v>
      </c>
      <c r="B46" s="1" t="s">
        <v>59</v>
      </c>
      <c r="C46" s="1">
        <v>-2.45</v>
      </c>
      <c r="D46" s="1">
        <v>907.53</v>
      </c>
      <c r="E46" s="1">
        <v>86931906560</v>
      </c>
      <c r="F46" s="1">
        <v>-1.2</v>
      </c>
      <c r="G46" s="1">
        <v>-0.17</v>
      </c>
      <c r="H46" s="1">
        <v>0.46</v>
      </c>
      <c r="I46" s="1">
        <v>-1.03</v>
      </c>
      <c r="J46" s="1">
        <v>275</v>
      </c>
      <c r="K46" s="1"/>
      <c r="L46" s="1">
        <v>0</v>
      </c>
    </row>
    <row r="47" spans="1:12">
      <c r="A47" s="1" t="str">
        <f>"880594"</f>
        <v>880594</v>
      </c>
      <c r="B47" s="1" t="s">
        <v>60</v>
      </c>
      <c r="C47" s="1">
        <v>-2.46</v>
      </c>
      <c r="D47" s="1">
        <v>2712.12</v>
      </c>
      <c r="E47" s="3" t="s">
        <v>61</v>
      </c>
      <c r="F47" s="1">
        <v>-2.07</v>
      </c>
      <c r="G47" s="1">
        <v>-0.49</v>
      </c>
      <c r="H47" s="1">
        <v>0.02</v>
      </c>
      <c r="I47" s="1">
        <v>-1.58</v>
      </c>
      <c r="J47" s="1">
        <v>785</v>
      </c>
      <c r="K47" s="1"/>
      <c r="L47" s="1">
        <v>0</v>
      </c>
    </row>
    <row r="48" spans="1:12">
      <c r="A48" s="1" t="str">
        <f>"880914"</f>
        <v>880914</v>
      </c>
      <c r="B48" s="1" t="s">
        <v>62</v>
      </c>
      <c r="C48" s="1">
        <v>-2.46</v>
      </c>
      <c r="D48" s="1">
        <v>1041.57</v>
      </c>
      <c r="E48" s="1">
        <v>8884920320</v>
      </c>
      <c r="F48" s="1">
        <v>-1.1</v>
      </c>
      <c r="G48" s="1">
        <v>0.46</v>
      </c>
      <c r="H48" s="1">
        <v>0.63</v>
      </c>
      <c r="I48" s="1">
        <v>-1.56</v>
      </c>
      <c r="J48" s="1">
        <v>26</v>
      </c>
      <c r="K48" s="1"/>
      <c r="L48" s="1">
        <v>0</v>
      </c>
    </row>
    <row r="49" spans="1:12">
      <c r="A49" s="1" t="str">
        <f>"880933"</f>
        <v>880933</v>
      </c>
      <c r="B49" s="1" t="s">
        <v>63</v>
      </c>
      <c r="C49" s="1">
        <v>-2.48</v>
      </c>
      <c r="D49" s="1">
        <v>1697.34</v>
      </c>
      <c r="E49" s="1">
        <v>67241340928</v>
      </c>
      <c r="F49" s="1">
        <v>-2.03</v>
      </c>
      <c r="G49" s="1">
        <v>-1.03</v>
      </c>
      <c r="H49" s="1">
        <v>0.08</v>
      </c>
      <c r="I49" s="1">
        <v>-1</v>
      </c>
      <c r="J49" s="1">
        <v>213</v>
      </c>
      <c r="K49" s="1"/>
      <c r="L49" s="1">
        <v>0</v>
      </c>
    </row>
    <row r="50" spans="1:12">
      <c r="A50" s="1" t="str">
        <f>"880796"</f>
        <v>880796</v>
      </c>
      <c r="B50" s="1" t="s">
        <v>64</v>
      </c>
      <c r="C50" s="1">
        <v>-2.49</v>
      </c>
      <c r="D50" s="1">
        <v>952.73</v>
      </c>
      <c r="E50" s="1">
        <v>3627968256</v>
      </c>
      <c r="F50" s="1">
        <v>-2.93</v>
      </c>
      <c r="G50" s="1">
        <v>-1.66</v>
      </c>
      <c r="H50" s="1">
        <v>-0.22</v>
      </c>
      <c r="I50" s="1">
        <v>-1.28</v>
      </c>
      <c r="J50" s="1">
        <v>42</v>
      </c>
      <c r="K50" s="1"/>
      <c r="L50" s="1">
        <v>0</v>
      </c>
    </row>
    <row r="51" spans="1:12">
      <c r="A51" s="1" t="str">
        <f>"880755"</f>
        <v>880755</v>
      </c>
      <c r="B51" s="1" t="s">
        <v>65</v>
      </c>
      <c r="C51" s="1">
        <v>-2.49</v>
      </c>
      <c r="D51" s="1">
        <v>910.06</v>
      </c>
      <c r="E51" s="1">
        <v>69895094272</v>
      </c>
      <c r="F51" s="1">
        <v>-3.38</v>
      </c>
      <c r="G51" s="1">
        <v>-2.1</v>
      </c>
      <c r="H51" s="1">
        <v>-0.59</v>
      </c>
      <c r="I51" s="1">
        <v>-1.28</v>
      </c>
      <c r="J51" s="1">
        <v>146</v>
      </c>
      <c r="K51" s="1"/>
      <c r="L51" s="1">
        <v>0</v>
      </c>
    </row>
    <row r="52" spans="1:12">
      <c r="A52" s="1" t="str">
        <f>"880642"</f>
        <v>880642</v>
      </c>
      <c r="B52" s="1" t="s">
        <v>66</v>
      </c>
      <c r="C52" s="1">
        <v>-2.51</v>
      </c>
      <c r="D52" s="1">
        <v>1123.98</v>
      </c>
      <c r="E52" s="1">
        <v>6700622336</v>
      </c>
      <c r="F52" s="1">
        <v>-2.39</v>
      </c>
      <c r="G52" s="1">
        <v>-1.1</v>
      </c>
      <c r="H52" s="1">
        <v>0.87</v>
      </c>
      <c r="I52" s="1">
        <v>-1.29</v>
      </c>
      <c r="J52" s="1">
        <v>19</v>
      </c>
      <c r="K52" s="1"/>
      <c r="L52" s="1">
        <v>0</v>
      </c>
    </row>
    <row r="53" spans="1:12">
      <c r="A53" s="1" t="str">
        <f>"880757"</f>
        <v>880757</v>
      </c>
      <c r="B53" s="1" t="s">
        <v>67</v>
      </c>
      <c r="C53" s="1">
        <v>-2.54</v>
      </c>
      <c r="D53" s="1">
        <v>1278.11</v>
      </c>
      <c r="E53" s="1">
        <v>38800117760</v>
      </c>
      <c r="F53" s="1">
        <v>-1.81</v>
      </c>
      <c r="G53" s="1">
        <v>-0.34</v>
      </c>
      <c r="H53" s="1">
        <v>0.76</v>
      </c>
      <c r="I53" s="1">
        <v>-1.47</v>
      </c>
      <c r="J53" s="1">
        <v>146</v>
      </c>
      <c r="K53" s="1"/>
      <c r="L53" s="1">
        <v>0</v>
      </c>
    </row>
    <row r="54" spans="1:12">
      <c r="A54" s="1" t="str">
        <f>"880706"</f>
        <v>880706</v>
      </c>
      <c r="B54" s="1" t="s">
        <v>68</v>
      </c>
      <c r="C54" s="1">
        <v>-2.55</v>
      </c>
      <c r="D54" s="1">
        <v>925.67</v>
      </c>
      <c r="E54" s="1">
        <v>7065958400</v>
      </c>
      <c r="F54" s="1">
        <v>2.83</v>
      </c>
      <c r="G54" s="1">
        <v>4.5</v>
      </c>
      <c r="H54" s="1">
        <v>6.29</v>
      </c>
      <c r="I54" s="1">
        <v>-1.67</v>
      </c>
      <c r="J54" s="1">
        <v>20</v>
      </c>
      <c r="K54" s="1"/>
      <c r="L54" s="1">
        <v>0</v>
      </c>
    </row>
    <row r="55" spans="1:12">
      <c r="A55" s="1" t="str">
        <f>"880621"</f>
        <v>880621</v>
      </c>
      <c r="B55" s="1" t="s">
        <v>69</v>
      </c>
      <c r="C55" s="1">
        <v>-2.56</v>
      </c>
      <c r="D55" s="1">
        <v>1149.31</v>
      </c>
      <c r="E55" s="1">
        <v>28135555072</v>
      </c>
      <c r="F55" s="1">
        <v>0.75</v>
      </c>
      <c r="G55" s="1">
        <v>1.86</v>
      </c>
      <c r="H55" s="1">
        <v>2.07</v>
      </c>
      <c r="I55" s="1">
        <v>-1.11</v>
      </c>
      <c r="J55" s="1">
        <v>71</v>
      </c>
      <c r="K55" s="1"/>
      <c r="L55" s="1">
        <v>0</v>
      </c>
    </row>
    <row r="56" spans="1:12">
      <c r="A56" s="1" t="str">
        <f>"880636"</f>
        <v>880636</v>
      </c>
      <c r="B56" s="1" t="s">
        <v>70</v>
      </c>
      <c r="C56" s="1">
        <v>-2.57</v>
      </c>
      <c r="D56" s="1">
        <v>1398.76</v>
      </c>
      <c r="E56" s="1">
        <v>18015457280</v>
      </c>
      <c r="F56" s="1">
        <v>-2.98</v>
      </c>
      <c r="G56" s="1">
        <v>-1.92</v>
      </c>
      <c r="H56" s="1">
        <v>-0.74</v>
      </c>
      <c r="I56" s="1">
        <v>-1.06</v>
      </c>
      <c r="J56" s="1">
        <v>51</v>
      </c>
      <c r="K56" s="1"/>
      <c r="L56" s="1">
        <v>0</v>
      </c>
    </row>
    <row r="57" spans="1:12">
      <c r="A57" s="1" t="str">
        <f>"880718"</f>
        <v>880718</v>
      </c>
      <c r="B57" s="1" t="s">
        <v>71</v>
      </c>
      <c r="C57" s="1">
        <v>-2.58</v>
      </c>
      <c r="D57" s="1">
        <v>1173.23</v>
      </c>
      <c r="E57" s="1">
        <v>26248620032</v>
      </c>
      <c r="F57" s="1">
        <v>-0.49</v>
      </c>
      <c r="G57" s="1">
        <v>0.55</v>
      </c>
      <c r="H57" s="1">
        <v>1.01</v>
      </c>
      <c r="I57" s="1">
        <v>-1.04</v>
      </c>
      <c r="J57" s="1">
        <v>77</v>
      </c>
      <c r="K57" s="1"/>
      <c r="L57" s="1">
        <v>0</v>
      </c>
    </row>
    <row r="58" spans="1:12">
      <c r="A58" s="1" t="str">
        <f>"880646"</f>
        <v>880646</v>
      </c>
      <c r="B58" s="1" t="s">
        <v>72</v>
      </c>
      <c r="C58" s="1">
        <v>-2.58</v>
      </c>
      <c r="D58" s="1">
        <v>1733.34</v>
      </c>
      <c r="E58" s="1">
        <v>30820630528</v>
      </c>
      <c r="F58" s="1">
        <v>-5.76</v>
      </c>
      <c r="G58" s="1">
        <v>-5.35</v>
      </c>
      <c r="H58" s="1">
        <v>-4.65</v>
      </c>
      <c r="I58" s="1">
        <v>-0.41</v>
      </c>
      <c r="J58" s="1">
        <v>48</v>
      </c>
      <c r="K58" s="1"/>
      <c r="L58" s="1">
        <v>0</v>
      </c>
    </row>
    <row r="59" spans="1:12">
      <c r="A59" s="1" t="str">
        <f>"880941"</f>
        <v>880941</v>
      </c>
      <c r="B59" s="1" t="s">
        <v>73</v>
      </c>
      <c r="C59" s="1">
        <v>-2.6</v>
      </c>
      <c r="D59" s="1">
        <v>1261.72</v>
      </c>
      <c r="E59" s="1">
        <v>69415526400</v>
      </c>
      <c r="F59" s="1">
        <v>-2</v>
      </c>
      <c r="G59" s="1">
        <v>-0.76</v>
      </c>
      <c r="H59" s="1">
        <v>0.47</v>
      </c>
      <c r="I59" s="1">
        <v>-1.25</v>
      </c>
      <c r="J59" s="1">
        <v>334</v>
      </c>
      <c r="K59" s="1"/>
      <c r="L59" s="1">
        <v>0</v>
      </c>
    </row>
    <row r="60" spans="1:12">
      <c r="A60" s="1" t="str">
        <f>"880659"</f>
        <v>880659</v>
      </c>
      <c r="B60" s="1" t="s">
        <v>74</v>
      </c>
      <c r="C60" s="1">
        <v>-2.62</v>
      </c>
      <c r="D60" s="1">
        <v>1823.45</v>
      </c>
      <c r="E60" s="1">
        <v>87990763520</v>
      </c>
      <c r="F60" s="1">
        <v>-3.34</v>
      </c>
      <c r="G60" s="1">
        <v>-2.62</v>
      </c>
      <c r="H60" s="1">
        <v>-2.06</v>
      </c>
      <c r="I60" s="1">
        <v>-0.72</v>
      </c>
      <c r="J60" s="1">
        <v>127</v>
      </c>
      <c r="K60" s="1"/>
      <c r="L60" s="1">
        <v>0</v>
      </c>
    </row>
    <row r="61" spans="1:12">
      <c r="A61" s="1" t="str">
        <f>"880602"</f>
        <v>880602</v>
      </c>
      <c r="B61" s="1" t="s">
        <v>75</v>
      </c>
      <c r="C61" s="1">
        <v>-2.64</v>
      </c>
      <c r="D61" s="1">
        <v>1056.11</v>
      </c>
      <c r="E61" s="1">
        <v>10832353280</v>
      </c>
      <c r="F61" s="1">
        <v>-1.83</v>
      </c>
      <c r="G61" s="1">
        <v>-0.26</v>
      </c>
      <c r="H61" s="1">
        <v>1.33</v>
      </c>
      <c r="I61" s="1">
        <v>-1.58</v>
      </c>
      <c r="J61" s="1">
        <v>49</v>
      </c>
      <c r="K61" s="1"/>
      <c r="L61" s="1">
        <v>0</v>
      </c>
    </row>
    <row r="62" spans="1:12">
      <c r="A62" s="1" t="str">
        <f>"880516"</f>
        <v>880516</v>
      </c>
      <c r="B62" s="1" t="s">
        <v>76</v>
      </c>
      <c r="C62" s="1">
        <v>-2.66</v>
      </c>
      <c r="D62" s="1">
        <v>1023.9</v>
      </c>
      <c r="E62" s="1">
        <v>8706960384</v>
      </c>
      <c r="F62" s="1">
        <v>-3.23</v>
      </c>
      <c r="G62" s="1">
        <v>-2.26</v>
      </c>
      <c r="H62" s="1">
        <v>-1.74</v>
      </c>
      <c r="I62" s="1">
        <v>-0.97</v>
      </c>
      <c r="J62" s="1">
        <v>205</v>
      </c>
      <c r="K62" s="1"/>
      <c r="L62" s="1">
        <v>0</v>
      </c>
    </row>
    <row r="63" spans="1:12">
      <c r="A63" s="1" t="str">
        <f>"880563"</f>
        <v>880563</v>
      </c>
      <c r="B63" s="1" t="s">
        <v>77</v>
      </c>
      <c r="C63" s="1">
        <v>-2.66</v>
      </c>
      <c r="D63" s="1">
        <v>2994.54</v>
      </c>
      <c r="E63" s="1">
        <v>12670062592</v>
      </c>
      <c r="F63" s="1">
        <v>-3.17</v>
      </c>
      <c r="G63" s="1">
        <v>-2.05</v>
      </c>
      <c r="H63" s="1">
        <v>-0.88</v>
      </c>
      <c r="I63" s="1">
        <v>-1.13</v>
      </c>
      <c r="J63" s="1">
        <v>66</v>
      </c>
      <c r="K63" s="1"/>
      <c r="L63" s="1">
        <v>0</v>
      </c>
    </row>
    <row r="64" spans="1:12">
      <c r="A64" s="1" t="str">
        <f>"880760"</f>
        <v>880760</v>
      </c>
      <c r="B64" s="1" t="s">
        <v>78</v>
      </c>
      <c r="C64" s="1">
        <v>-2.69</v>
      </c>
      <c r="D64" s="1">
        <v>1000.35</v>
      </c>
      <c r="E64" s="1">
        <v>20683190272</v>
      </c>
      <c r="F64" s="1">
        <v>-2.13</v>
      </c>
      <c r="G64" s="1">
        <v>-0.63</v>
      </c>
      <c r="H64" s="1">
        <v>0.54</v>
      </c>
      <c r="I64" s="1">
        <v>-1.51</v>
      </c>
      <c r="J64" s="1">
        <v>111</v>
      </c>
      <c r="K64" s="1"/>
      <c r="L64" s="1">
        <v>0</v>
      </c>
    </row>
    <row r="65" spans="1:12">
      <c r="A65" s="1" t="str">
        <f>"880940"</f>
        <v>880940</v>
      </c>
      <c r="B65" s="1" t="s">
        <v>79</v>
      </c>
      <c r="C65" s="1">
        <v>-2.72</v>
      </c>
      <c r="D65" s="1">
        <v>491.5</v>
      </c>
      <c r="E65" s="1">
        <v>26571870208</v>
      </c>
      <c r="F65" s="1">
        <v>-2.54</v>
      </c>
      <c r="G65" s="1">
        <v>-1.24</v>
      </c>
      <c r="H65" s="1">
        <v>-0.11</v>
      </c>
      <c r="I65" s="1">
        <v>-1.29</v>
      </c>
      <c r="J65" s="1">
        <v>174</v>
      </c>
      <c r="K65" s="1"/>
      <c r="L65" s="1">
        <v>0</v>
      </c>
    </row>
    <row r="66" spans="1:12">
      <c r="A66" s="1" t="str">
        <f>"880540"</f>
        <v>880540</v>
      </c>
      <c r="B66" s="1" t="s">
        <v>80</v>
      </c>
      <c r="C66" s="1">
        <v>-2.74</v>
      </c>
      <c r="D66" s="1">
        <v>1756.1</v>
      </c>
      <c r="E66" s="3" t="s">
        <v>81</v>
      </c>
      <c r="F66" s="1">
        <v>-2.5</v>
      </c>
      <c r="G66" s="1">
        <v>-1.24</v>
      </c>
      <c r="H66" s="1">
        <v>-0.18</v>
      </c>
      <c r="I66" s="1">
        <v>-1.25</v>
      </c>
      <c r="J66" s="1">
        <v>463</v>
      </c>
      <c r="K66" s="1"/>
      <c r="L66" s="1">
        <v>0</v>
      </c>
    </row>
    <row r="67" spans="1:12">
      <c r="A67" s="1" t="str">
        <f>"880795"</f>
        <v>880795</v>
      </c>
      <c r="B67" s="1" t="s">
        <v>82</v>
      </c>
      <c r="C67" s="1">
        <v>-2.77</v>
      </c>
      <c r="D67" s="1">
        <v>1929.67</v>
      </c>
      <c r="E67" s="1">
        <v>66963144704</v>
      </c>
      <c r="F67" s="1">
        <v>-3.12</v>
      </c>
      <c r="G67" s="1">
        <v>-1.87</v>
      </c>
      <c r="H67" s="1">
        <v>-0.65</v>
      </c>
      <c r="I67" s="1">
        <v>-1.25</v>
      </c>
      <c r="J67" s="1">
        <v>195</v>
      </c>
      <c r="K67" s="1"/>
      <c r="L67" s="1">
        <v>0</v>
      </c>
    </row>
    <row r="68" spans="1:12">
      <c r="A68" s="1" t="str">
        <f>"880954"</f>
        <v>880954</v>
      </c>
      <c r="B68" s="1" t="s">
        <v>83</v>
      </c>
      <c r="C68" s="1">
        <v>-2.78</v>
      </c>
      <c r="D68" s="1">
        <v>1454.85</v>
      </c>
      <c r="E68" s="1">
        <v>93788004352</v>
      </c>
      <c r="F68" s="1">
        <v>-2.04</v>
      </c>
      <c r="G68" s="1">
        <v>-0.96</v>
      </c>
      <c r="H68" s="1">
        <v>-0.33</v>
      </c>
      <c r="I68" s="1">
        <v>-1.08</v>
      </c>
      <c r="J68" s="1">
        <v>273</v>
      </c>
      <c r="K68" s="1"/>
      <c r="L68" s="1">
        <v>0</v>
      </c>
    </row>
    <row r="69" spans="1:12">
      <c r="A69" s="1" t="str">
        <f>"880732"</f>
        <v>880732</v>
      </c>
      <c r="B69" s="1" t="s">
        <v>84</v>
      </c>
      <c r="C69" s="1">
        <v>-2.78</v>
      </c>
      <c r="D69" s="1">
        <v>1114.54</v>
      </c>
      <c r="E69" s="3" t="s">
        <v>85</v>
      </c>
      <c r="F69" s="1">
        <v>-1.63</v>
      </c>
      <c r="G69" s="1">
        <v>-0.5</v>
      </c>
      <c r="H69" s="1">
        <v>0.16</v>
      </c>
      <c r="I69" s="1">
        <v>-1.13</v>
      </c>
      <c r="J69" s="1">
        <v>468</v>
      </c>
      <c r="K69" s="1"/>
      <c r="L69" s="1">
        <v>0</v>
      </c>
    </row>
    <row r="70" spans="1:12">
      <c r="A70" s="1" t="str">
        <f>"880618"</f>
        <v>880618</v>
      </c>
      <c r="B70" s="1" t="s">
        <v>86</v>
      </c>
      <c r="C70" s="1">
        <v>-2.78</v>
      </c>
      <c r="D70" s="1">
        <v>939.44</v>
      </c>
      <c r="E70" s="1">
        <v>16670870528</v>
      </c>
      <c r="F70" s="1">
        <v>-3.14</v>
      </c>
      <c r="G70" s="1">
        <v>-1.58</v>
      </c>
      <c r="H70" s="1">
        <v>0.17</v>
      </c>
      <c r="I70" s="1">
        <v>-1.55</v>
      </c>
      <c r="J70" s="1">
        <v>68</v>
      </c>
      <c r="K70" s="1"/>
      <c r="L70" s="1">
        <v>0</v>
      </c>
    </row>
    <row r="71" spans="1:12">
      <c r="A71" s="1" t="str">
        <f>"880727"</f>
        <v>880727</v>
      </c>
      <c r="B71" s="1" t="s">
        <v>87</v>
      </c>
      <c r="C71" s="1">
        <v>-2.79</v>
      </c>
      <c r="D71" s="1">
        <v>1103</v>
      </c>
      <c r="E71" s="1">
        <v>20224786432</v>
      </c>
      <c r="F71" s="1">
        <v>-4.29</v>
      </c>
      <c r="G71" s="1">
        <v>-3.16</v>
      </c>
      <c r="H71" s="1">
        <v>-1.87</v>
      </c>
      <c r="I71" s="1">
        <v>-1.13</v>
      </c>
      <c r="J71" s="1">
        <v>46</v>
      </c>
      <c r="K71" s="1"/>
      <c r="L71" s="1">
        <v>0</v>
      </c>
    </row>
    <row r="72" spans="1:12">
      <c r="A72" s="1" t="str">
        <f>"880746"</f>
        <v>880746</v>
      </c>
      <c r="B72" s="1" t="s">
        <v>88</v>
      </c>
      <c r="C72" s="1">
        <v>-2.79</v>
      </c>
      <c r="D72" s="1">
        <v>1546.47</v>
      </c>
      <c r="E72" s="1">
        <v>22448922624</v>
      </c>
      <c r="F72" s="1">
        <v>-1.51</v>
      </c>
      <c r="G72" s="1">
        <v>-0.35</v>
      </c>
      <c r="H72" s="1">
        <v>0.13</v>
      </c>
      <c r="I72" s="1">
        <v>-1.16</v>
      </c>
      <c r="J72" s="1">
        <v>51</v>
      </c>
      <c r="K72" s="1"/>
      <c r="L72" s="1">
        <v>0</v>
      </c>
    </row>
    <row r="73" spans="1:12">
      <c r="A73" s="1" t="str">
        <f>"880722"</f>
        <v>880722</v>
      </c>
      <c r="B73" s="1" t="s">
        <v>89</v>
      </c>
      <c r="C73" s="1">
        <v>-2.79</v>
      </c>
      <c r="D73" s="1">
        <v>1224.15</v>
      </c>
      <c r="E73" s="1">
        <v>69411004416</v>
      </c>
      <c r="F73" s="1">
        <v>-1.59</v>
      </c>
      <c r="G73" s="1">
        <v>-0.46</v>
      </c>
      <c r="H73" s="1">
        <v>0.24</v>
      </c>
      <c r="I73" s="1">
        <v>-1.13</v>
      </c>
      <c r="J73" s="1">
        <v>265</v>
      </c>
      <c r="K73" s="1"/>
      <c r="L73" s="1">
        <v>0</v>
      </c>
    </row>
    <row r="74" spans="1:12">
      <c r="A74" s="1" t="str">
        <f>"880978"</f>
        <v>880978</v>
      </c>
      <c r="B74" s="1" t="s">
        <v>90</v>
      </c>
      <c r="C74" s="1">
        <v>-2.8</v>
      </c>
      <c r="D74" s="1">
        <v>1434.6</v>
      </c>
      <c r="E74" s="3" t="s">
        <v>91</v>
      </c>
      <c r="F74" s="1">
        <v>-2.07</v>
      </c>
      <c r="G74" s="1">
        <v>-0.87</v>
      </c>
      <c r="H74" s="1">
        <v>-0.11</v>
      </c>
      <c r="I74" s="1">
        <v>-1.2</v>
      </c>
      <c r="J74" s="1">
        <v>775</v>
      </c>
      <c r="K74" s="1"/>
      <c r="L74" s="1">
        <v>0</v>
      </c>
    </row>
    <row r="75" spans="1:12">
      <c r="A75" s="1" t="str">
        <f>"880908"</f>
        <v>880908</v>
      </c>
      <c r="B75" s="1" t="s">
        <v>92</v>
      </c>
      <c r="C75" s="1">
        <v>-2.8</v>
      </c>
      <c r="D75" s="1">
        <v>865.62</v>
      </c>
      <c r="E75" s="1">
        <v>28471601152</v>
      </c>
      <c r="F75" s="1">
        <v>-0.86</v>
      </c>
      <c r="G75" s="1">
        <v>0.46</v>
      </c>
      <c r="H75" s="1">
        <v>1.36</v>
      </c>
      <c r="I75" s="1">
        <v>-1.32</v>
      </c>
      <c r="J75" s="1">
        <v>126</v>
      </c>
      <c r="K75" s="1"/>
      <c r="L75" s="1">
        <v>0</v>
      </c>
    </row>
    <row r="76" spans="1:12">
      <c r="A76" s="1" t="str">
        <f>"880502"</f>
        <v>880502</v>
      </c>
      <c r="B76" s="1" t="s">
        <v>93</v>
      </c>
      <c r="C76" s="1">
        <v>-2.81</v>
      </c>
      <c r="D76" s="1">
        <v>1198.69</v>
      </c>
      <c r="E76" s="1">
        <v>15666430976</v>
      </c>
      <c r="F76" s="1">
        <v>-2.88</v>
      </c>
      <c r="G76" s="1">
        <v>-1.56</v>
      </c>
      <c r="H76" s="1">
        <v>-0.56</v>
      </c>
      <c r="I76" s="1">
        <v>-1.33</v>
      </c>
      <c r="J76" s="1">
        <v>72</v>
      </c>
      <c r="K76" s="1"/>
      <c r="L76" s="1">
        <v>0</v>
      </c>
    </row>
    <row r="77" spans="1:12">
      <c r="A77" s="1" t="str">
        <f>"880645"</f>
        <v>880645</v>
      </c>
      <c r="B77" s="1" t="s">
        <v>94</v>
      </c>
      <c r="C77" s="1">
        <v>-2.81</v>
      </c>
      <c r="D77" s="1">
        <v>1732.9</v>
      </c>
      <c r="E77" s="3" t="s">
        <v>95</v>
      </c>
      <c r="F77" s="1">
        <v>-0.62</v>
      </c>
      <c r="G77" s="1">
        <v>0.43</v>
      </c>
      <c r="H77" s="1">
        <v>0.76</v>
      </c>
      <c r="I77" s="1">
        <v>-1.06</v>
      </c>
      <c r="J77" s="1">
        <v>294</v>
      </c>
      <c r="K77" s="1"/>
      <c r="L77" s="1">
        <v>0</v>
      </c>
    </row>
    <row r="78" spans="1:12">
      <c r="A78" s="1" t="str">
        <f>"880591"</f>
        <v>880591</v>
      </c>
      <c r="B78" s="1" t="s">
        <v>96</v>
      </c>
      <c r="C78" s="1">
        <v>-2.83</v>
      </c>
      <c r="D78" s="1">
        <v>2379.94</v>
      </c>
      <c r="E78" s="1">
        <v>29425995776</v>
      </c>
      <c r="F78" s="1">
        <v>-2.52</v>
      </c>
      <c r="G78" s="1">
        <v>-1.17</v>
      </c>
      <c r="H78" s="1">
        <v>-0.08</v>
      </c>
      <c r="I78" s="1">
        <v>-1.35</v>
      </c>
      <c r="J78" s="1">
        <v>84</v>
      </c>
      <c r="K78" s="1"/>
      <c r="L78" s="1">
        <v>0</v>
      </c>
    </row>
    <row r="79" spans="1:12">
      <c r="A79" s="1" t="str">
        <f>"880974"</f>
        <v>880974</v>
      </c>
      <c r="B79" s="1" t="s">
        <v>97</v>
      </c>
      <c r="C79" s="1">
        <v>-2.83</v>
      </c>
      <c r="D79" s="1">
        <v>2001.19</v>
      </c>
      <c r="E79" s="1">
        <v>7500416512</v>
      </c>
      <c r="F79" s="1">
        <v>-2.15</v>
      </c>
      <c r="G79" s="1">
        <v>-0.83</v>
      </c>
      <c r="H79" s="1">
        <v>0.65</v>
      </c>
      <c r="I79" s="1">
        <v>-1.32</v>
      </c>
      <c r="J79" s="1">
        <v>33</v>
      </c>
      <c r="K79" s="1"/>
      <c r="L79" s="1">
        <v>0</v>
      </c>
    </row>
    <row r="80" spans="1:12">
      <c r="A80" s="1" t="str">
        <f>"880525"</f>
        <v>880525</v>
      </c>
      <c r="B80" s="1" t="s">
        <v>98</v>
      </c>
      <c r="C80" s="1">
        <v>-2.85</v>
      </c>
      <c r="D80" s="1">
        <v>1253.55</v>
      </c>
      <c r="E80" s="1">
        <v>25271590912</v>
      </c>
      <c r="F80" s="1">
        <v>-2.89</v>
      </c>
      <c r="G80" s="1">
        <v>-1.46</v>
      </c>
      <c r="H80" s="1">
        <v>-0.5</v>
      </c>
      <c r="I80" s="1">
        <v>-1.43</v>
      </c>
      <c r="J80" s="1">
        <v>137</v>
      </c>
      <c r="K80" s="1"/>
      <c r="L80" s="1">
        <v>0</v>
      </c>
    </row>
    <row r="81" spans="1:12">
      <c r="A81" s="1" t="str">
        <f>"880955"</f>
        <v>880955</v>
      </c>
      <c r="B81" s="1" t="s">
        <v>99</v>
      </c>
      <c r="C81" s="1">
        <v>-2.85</v>
      </c>
      <c r="D81" s="1">
        <v>1455.37</v>
      </c>
      <c r="E81" s="1">
        <v>94918524928</v>
      </c>
      <c r="F81" s="1">
        <v>-2.42</v>
      </c>
      <c r="G81" s="1">
        <v>-1</v>
      </c>
      <c r="H81" s="1">
        <v>0.42</v>
      </c>
      <c r="I81" s="1">
        <v>-1.42</v>
      </c>
      <c r="J81" s="1">
        <v>399</v>
      </c>
      <c r="K81" s="1"/>
      <c r="L81" s="1">
        <v>0</v>
      </c>
    </row>
    <row r="82" spans="1:12">
      <c r="A82" s="1" t="str">
        <f>"880644"</f>
        <v>880644</v>
      </c>
      <c r="B82" s="1" t="s">
        <v>100</v>
      </c>
      <c r="C82" s="1">
        <v>-2.86</v>
      </c>
      <c r="D82" s="1">
        <v>959.75</v>
      </c>
      <c r="E82" s="1">
        <v>2249966848</v>
      </c>
      <c r="F82" s="1">
        <v>-1.27</v>
      </c>
      <c r="G82" s="1">
        <v>0.03</v>
      </c>
      <c r="H82" s="1">
        <v>0.91</v>
      </c>
      <c r="I82" s="1">
        <v>-1.3</v>
      </c>
      <c r="J82" s="1">
        <v>21</v>
      </c>
      <c r="K82" s="1"/>
      <c r="L82" s="1">
        <v>0</v>
      </c>
    </row>
    <row r="83" spans="1:12">
      <c r="A83" s="1" t="str">
        <f>"880767"</f>
        <v>880767</v>
      </c>
      <c r="B83" s="1" t="s">
        <v>101</v>
      </c>
      <c r="C83" s="1">
        <v>-2.86</v>
      </c>
      <c r="D83" s="1">
        <v>1163.25</v>
      </c>
      <c r="E83" s="1">
        <v>13602983936</v>
      </c>
      <c r="F83" s="1">
        <v>-3.5</v>
      </c>
      <c r="G83" s="1">
        <v>-2.93</v>
      </c>
      <c r="H83" s="1">
        <v>-2.13</v>
      </c>
      <c r="I83" s="1">
        <v>-0.57</v>
      </c>
      <c r="J83" s="1">
        <v>24</v>
      </c>
      <c r="K83" s="1"/>
      <c r="L83" s="1">
        <v>0</v>
      </c>
    </row>
    <row r="84" spans="1:12">
      <c r="A84" s="1" t="str">
        <f>"880667"</f>
        <v>880667</v>
      </c>
      <c r="B84" s="1" t="s">
        <v>102</v>
      </c>
      <c r="C84" s="1">
        <v>-2.86</v>
      </c>
      <c r="D84" s="1">
        <v>987.9</v>
      </c>
      <c r="E84" s="3" t="s">
        <v>103</v>
      </c>
      <c r="F84" s="1">
        <v>-1.34</v>
      </c>
      <c r="G84" s="1">
        <v>-0.08</v>
      </c>
      <c r="H84" s="1">
        <v>0.59</v>
      </c>
      <c r="I84" s="1">
        <v>-1.26</v>
      </c>
      <c r="J84" s="1">
        <v>398</v>
      </c>
      <c r="K84" s="1"/>
      <c r="L84" s="1">
        <v>0</v>
      </c>
    </row>
    <row r="85" spans="1:12">
      <c r="A85" s="1" t="str">
        <f>"880956"</f>
        <v>880956</v>
      </c>
      <c r="B85" s="1" t="s">
        <v>104</v>
      </c>
      <c r="C85" s="1">
        <v>-2.87</v>
      </c>
      <c r="D85" s="1">
        <v>954.6</v>
      </c>
      <c r="E85" s="3" t="s">
        <v>105</v>
      </c>
      <c r="F85" s="1">
        <v>-1.83</v>
      </c>
      <c r="G85" s="1">
        <v>-0.67</v>
      </c>
      <c r="H85" s="1">
        <v>-0.15</v>
      </c>
      <c r="I85" s="1">
        <v>-1.16</v>
      </c>
      <c r="J85" s="1">
        <v>302</v>
      </c>
      <c r="K85" s="1"/>
      <c r="L85" s="1">
        <v>0</v>
      </c>
    </row>
    <row r="86" spans="1:12">
      <c r="A86" s="1" t="str">
        <f>"880733"</f>
        <v>880733</v>
      </c>
      <c r="B86" s="1" t="s">
        <v>106</v>
      </c>
      <c r="C86" s="1">
        <v>-2.87</v>
      </c>
      <c r="D86" s="1">
        <v>1496.58</v>
      </c>
      <c r="E86" s="1">
        <v>32912363520</v>
      </c>
      <c r="F86" s="1">
        <v>-3.35</v>
      </c>
      <c r="G86" s="1">
        <v>-2.36</v>
      </c>
      <c r="H86" s="1">
        <v>-1.29</v>
      </c>
      <c r="I86" s="1">
        <v>-1</v>
      </c>
      <c r="J86" s="1">
        <v>93</v>
      </c>
      <c r="K86" s="1"/>
      <c r="L86" s="1">
        <v>0</v>
      </c>
    </row>
    <row r="87" spans="1:12">
      <c r="A87" s="1" t="str">
        <f>"880911"</f>
        <v>880911</v>
      </c>
      <c r="B87" s="1" t="s">
        <v>107</v>
      </c>
      <c r="C87" s="1">
        <v>-2.87</v>
      </c>
      <c r="D87" s="1">
        <v>1409.83</v>
      </c>
      <c r="E87" s="1">
        <v>41549361152</v>
      </c>
      <c r="F87" s="1">
        <v>-2.76</v>
      </c>
      <c r="G87" s="1">
        <v>-1.37</v>
      </c>
      <c r="H87" s="1">
        <v>-0.22</v>
      </c>
      <c r="I87" s="1">
        <v>-1.39</v>
      </c>
      <c r="J87" s="1">
        <v>231</v>
      </c>
      <c r="K87" s="1"/>
      <c r="L87" s="1">
        <v>0</v>
      </c>
    </row>
    <row r="88" spans="1:12">
      <c r="A88" s="1" t="str">
        <f>"880550"</f>
        <v>880550</v>
      </c>
      <c r="B88" s="1" t="s">
        <v>108</v>
      </c>
      <c r="C88" s="1">
        <v>-2.88</v>
      </c>
      <c r="D88" s="1">
        <v>2926.38</v>
      </c>
      <c r="E88" s="3" t="s">
        <v>109</v>
      </c>
      <c r="F88" s="1">
        <v>-4.9</v>
      </c>
      <c r="G88" s="1">
        <v>-4.29</v>
      </c>
      <c r="H88" s="1">
        <v>-3.52</v>
      </c>
      <c r="I88" s="1">
        <v>-0.61</v>
      </c>
      <c r="J88" s="1">
        <v>238</v>
      </c>
      <c r="K88" s="1"/>
      <c r="L88" s="1">
        <v>0</v>
      </c>
    </row>
    <row r="89" spans="1:12">
      <c r="A89" s="1" t="str">
        <f>"880651"</f>
        <v>880651</v>
      </c>
      <c r="B89" s="1" t="s">
        <v>110</v>
      </c>
      <c r="C89" s="1">
        <v>-2.89</v>
      </c>
      <c r="D89" s="1">
        <v>1138.95</v>
      </c>
      <c r="E89" s="1">
        <v>30788493312</v>
      </c>
      <c r="F89" s="1">
        <v>-1.55</v>
      </c>
      <c r="G89" s="1">
        <v>-0.07</v>
      </c>
      <c r="H89" s="1">
        <v>0.87</v>
      </c>
      <c r="I89" s="1">
        <v>-1.47</v>
      </c>
      <c r="J89" s="1">
        <v>151</v>
      </c>
      <c r="K89" s="1"/>
      <c r="L89" s="1">
        <v>0</v>
      </c>
    </row>
    <row r="90" spans="1:12">
      <c r="A90" s="1" t="str">
        <f>"880715"</f>
        <v>880715</v>
      </c>
      <c r="B90" s="1" t="s">
        <v>111</v>
      </c>
      <c r="C90" s="1">
        <v>-2.89</v>
      </c>
      <c r="D90" s="1">
        <v>2520.14</v>
      </c>
      <c r="E90" s="1">
        <v>20518440960</v>
      </c>
      <c r="F90" s="1">
        <v>-4</v>
      </c>
      <c r="G90" s="1">
        <v>-2.68</v>
      </c>
      <c r="H90" s="1">
        <v>-1.28</v>
      </c>
      <c r="I90" s="1">
        <v>-1.32</v>
      </c>
      <c r="J90" s="1">
        <v>59</v>
      </c>
      <c r="K90" s="1"/>
      <c r="L90" s="1">
        <v>0</v>
      </c>
    </row>
    <row r="91" spans="1:12">
      <c r="A91" s="1" t="str">
        <f>"880695"</f>
        <v>880695</v>
      </c>
      <c r="B91" s="1" t="s">
        <v>112</v>
      </c>
      <c r="C91" s="1">
        <v>-2.89</v>
      </c>
      <c r="D91" s="1">
        <v>1580.13</v>
      </c>
      <c r="E91" s="1">
        <v>18577969152</v>
      </c>
      <c r="F91" s="1">
        <v>-5.09</v>
      </c>
      <c r="G91" s="1">
        <v>-4.28</v>
      </c>
      <c r="H91" s="1">
        <v>-3.1</v>
      </c>
      <c r="I91" s="1">
        <v>-0.81</v>
      </c>
      <c r="J91" s="1">
        <v>52</v>
      </c>
      <c r="K91" s="1"/>
      <c r="L91" s="1">
        <v>0</v>
      </c>
    </row>
    <row r="92" spans="1:12">
      <c r="A92" s="1" t="str">
        <f>"880567"</f>
        <v>880567</v>
      </c>
      <c r="B92" s="1" t="s">
        <v>113</v>
      </c>
      <c r="C92" s="1">
        <v>-2.9</v>
      </c>
      <c r="D92" s="1">
        <v>3575.77</v>
      </c>
      <c r="E92" s="1">
        <v>12915190784</v>
      </c>
      <c r="F92" s="1">
        <v>-3.02</v>
      </c>
      <c r="G92" s="1">
        <v>-1.49</v>
      </c>
      <c r="H92" s="1">
        <v>-0.05</v>
      </c>
      <c r="I92" s="1">
        <v>-1.53</v>
      </c>
      <c r="J92" s="1">
        <v>48</v>
      </c>
      <c r="K92" s="1"/>
      <c r="L92" s="1">
        <v>0</v>
      </c>
    </row>
    <row r="93" spans="1:12">
      <c r="A93" s="1" t="str">
        <f>"880720"</f>
        <v>880720</v>
      </c>
      <c r="B93" s="1" t="s">
        <v>114</v>
      </c>
      <c r="C93" s="1">
        <v>-2.9</v>
      </c>
      <c r="D93" s="1">
        <v>1077.59</v>
      </c>
      <c r="E93" s="3" t="s">
        <v>115</v>
      </c>
      <c r="F93" s="1">
        <v>-1.6</v>
      </c>
      <c r="G93" s="1">
        <v>-0.44</v>
      </c>
      <c r="H93" s="1">
        <v>0</v>
      </c>
      <c r="I93" s="1">
        <v>-1.16</v>
      </c>
      <c r="J93" s="1">
        <v>246</v>
      </c>
      <c r="K93" s="1"/>
      <c r="L93" s="1">
        <v>0</v>
      </c>
    </row>
    <row r="94" spans="1:12">
      <c r="A94" s="1" t="str">
        <f>"880717"</f>
        <v>880717</v>
      </c>
      <c r="B94" s="1" t="s">
        <v>116</v>
      </c>
      <c r="C94" s="1">
        <v>-2.92</v>
      </c>
      <c r="D94" s="1">
        <v>1937.62</v>
      </c>
      <c r="E94" s="1">
        <v>5453036544</v>
      </c>
      <c r="F94" s="1">
        <v>-2.52</v>
      </c>
      <c r="G94" s="1">
        <v>-1.33</v>
      </c>
      <c r="H94" s="1">
        <v>-0.42</v>
      </c>
      <c r="I94" s="1">
        <v>-1.19</v>
      </c>
      <c r="J94" s="1">
        <v>37</v>
      </c>
      <c r="K94" s="1"/>
      <c r="L94" s="1">
        <v>0</v>
      </c>
    </row>
    <row r="95" spans="1:12">
      <c r="A95" s="1" t="str">
        <f>"880657"</f>
        <v>880657</v>
      </c>
      <c r="B95" s="1" t="s">
        <v>117</v>
      </c>
      <c r="C95" s="1">
        <v>-2.92</v>
      </c>
      <c r="D95" s="1">
        <v>1039.1</v>
      </c>
      <c r="E95" s="1">
        <v>7870613504</v>
      </c>
      <c r="F95" s="1">
        <v>-2.16</v>
      </c>
      <c r="G95" s="1">
        <v>-1.17</v>
      </c>
      <c r="H95" s="1">
        <v>-0.61</v>
      </c>
      <c r="I95" s="1">
        <v>-0.99</v>
      </c>
      <c r="J95" s="1">
        <v>31</v>
      </c>
      <c r="K95" s="1"/>
      <c r="L95" s="1">
        <v>0</v>
      </c>
    </row>
    <row r="96" spans="1:12">
      <c r="A96" s="1" t="str">
        <f>"880964"</f>
        <v>880964</v>
      </c>
      <c r="B96" s="1" t="s">
        <v>118</v>
      </c>
      <c r="C96" s="1">
        <v>-2.93</v>
      </c>
      <c r="D96" s="1">
        <v>3078.76</v>
      </c>
      <c r="E96" s="1">
        <v>54105804800</v>
      </c>
      <c r="F96" s="1">
        <v>-4.06</v>
      </c>
      <c r="G96" s="1">
        <v>-2.93</v>
      </c>
      <c r="H96" s="1">
        <v>-1.9</v>
      </c>
      <c r="I96" s="1">
        <v>-1.13</v>
      </c>
      <c r="J96" s="1">
        <v>132</v>
      </c>
      <c r="K96" s="1"/>
      <c r="L96" s="1">
        <v>0</v>
      </c>
    </row>
    <row r="97" spans="1:12">
      <c r="A97" s="1" t="str">
        <f>"880906"</f>
        <v>880906</v>
      </c>
      <c r="B97" s="1" t="s">
        <v>119</v>
      </c>
      <c r="C97" s="1">
        <v>-2.94</v>
      </c>
      <c r="D97" s="1">
        <v>3141.68</v>
      </c>
      <c r="E97" s="1">
        <v>79107817472</v>
      </c>
      <c r="F97" s="1">
        <v>-3.03</v>
      </c>
      <c r="G97" s="1">
        <v>-2.04</v>
      </c>
      <c r="H97" s="1">
        <v>-1.16</v>
      </c>
      <c r="I97" s="1">
        <v>-0.99</v>
      </c>
      <c r="J97" s="1">
        <v>291</v>
      </c>
      <c r="K97" s="1"/>
      <c r="L97" s="1">
        <v>0</v>
      </c>
    </row>
    <row r="98" spans="1:12">
      <c r="A98" s="1" t="str">
        <f>"880584"</f>
        <v>880584</v>
      </c>
      <c r="B98" s="1" t="s">
        <v>120</v>
      </c>
      <c r="C98" s="1">
        <v>-2.94</v>
      </c>
      <c r="D98" s="1">
        <v>2163.29</v>
      </c>
      <c r="E98" s="1">
        <v>43110846464</v>
      </c>
      <c r="F98" s="1">
        <v>-3.62</v>
      </c>
      <c r="G98" s="1">
        <v>-2.41</v>
      </c>
      <c r="H98" s="1">
        <v>-1.19</v>
      </c>
      <c r="I98" s="1">
        <v>-1.22</v>
      </c>
      <c r="J98" s="1">
        <v>97</v>
      </c>
      <c r="K98" s="1"/>
      <c r="L98" s="1">
        <v>0</v>
      </c>
    </row>
    <row r="99" spans="1:12">
      <c r="A99" s="1" t="str">
        <f>"880741"</f>
        <v>880741</v>
      </c>
      <c r="B99" s="1" t="s">
        <v>121</v>
      </c>
      <c r="C99" s="1">
        <v>-2.94</v>
      </c>
      <c r="D99" s="1">
        <v>1035.24</v>
      </c>
      <c r="E99" s="1">
        <v>4484088832</v>
      </c>
      <c r="F99" s="1">
        <v>-2.75</v>
      </c>
      <c r="G99" s="1">
        <v>-0.86</v>
      </c>
      <c r="H99" s="1">
        <v>1.05</v>
      </c>
      <c r="I99" s="1">
        <v>-1.89</v>
      </c>
      <c r="J99" s="1">
        <v>26</v>
      </c>
      <c r="K99" s="1"/>
      <c r="L99" s="1">
        <v>0</v>
      </c>
    </row>
    <row r="100" spans="1:12">
      <c r="A100" s="1" t="str">
        <f>"880919"</f>
        <v>880919</v>
      </c>
      <c r="B100" s="1" t="s">
        <v>122</v>
      </c>
      <c r="C100" s="1">
        <v>-2.94</v>
      </c>
      <c r="D100" s="1">
        <v>1969.34</v>
      </c>
      <c r="E100" s="3" t="s">
        <v>123</v>
      </c>
      <c r="F100" s="1">
        <v>-3.08</v>
      </c>
      <c r="G100" s="1">
        <v>-1.88</v>
      </c>
      <c r="H100" s="1">
        <v>-0.91</v>
      </c>
      <c r="I100" s="1">
        <v>-1.2</v>
      </c>
      <c r="J100" s="1">
        <v>378</v>
      </c>
      <c r="K100" s="1"/>
      <c r="L100" s="1">
        <v>0</v>
      </c>
    </row>
    <row r="101" spans="1:12">
      <c r="A101" s="1" t="str">
        <f>"880568"</f>
        <v>880568</v>
      </c>
      <c r="B101" s="1" t="s">
        <v>124</v>
      </c>
      <c r="C101" s="1">
        <v>-2.95</v>
      </c>
      <c r="D101" s="1">
        <v>1541.54</v>
      </c>
      <c r="E101" s="1">
        <v>9633232896</v>
      </c>
      <c r="F101" s="1">
        <v>-2.39</v>
      </c>
      <c r="G101" s="1">
        <v>-0.37</v>
      </c>
      <c r="H101" s="1">
        <v>0.53</v>
      </c>
      <c r="I101" s="1">
        <v>-2.02</v>
      </c>
      <c r="J101" s="1">
        <v>66</v>
      </c>
      <c r="K101" s="1"/>
      <c r="L101" s="1">
        <v>0</v>
      </c>
    </row>
    <row r="102" spans="1:12">
      <c r="A102" s="1" t="str">
        <f>"880555"</f>
        <v>880555</v>
      </c>
      <c r="B102" s="1" t="s">
        <v>125</v>
      </c>
      <c r="C102" s="1">
        <v>-2.95</v>
      </c>
      <c r="D102" s="1">
        <v>1428.83</v>
      </c>
      <c r="E102" s="1">
        <v>12373651456</v>
      </c>
      <c r="F102" s="1">
        <v>-1.02</v>
      </c>
      <c r="G102" s="1">
        <v>0.09</v>
      </c>
      <c r="H102" s="1">
        <v>0.66</v>
      </c>
      <c r="I102" s="1">
        <v>-1.11</v>
      </c>
      <c r="J102" s="1">
        <v>68</v>
      </c>
      <c r="K102" s="1"/>
      <c r="L102" s="1">
        <v>0</v>
      </c>
    </row>
    <row r="103" spans="1:12">
      <c r="A103" s="1" t="str">
        <f>"880610"</f>
        <v>880610</v>
      </c>
      <c r="B103" s="1" t="s">
        <v>126</v>
      </c>
      <c r="C103" s="1">
        <v>-2.95</v>
      </c>
      <c r="D103" s="1">
        <v>1281</v>
      </c>
      <c r="E103" s="1">
        <v>25489838080</v>
      </c>
      <c r="F103" s="1">
        <v>-2.51</v>
      </c>
      <c r="G103" s="1">
        <v>-0.99</v>
      </c>
      <c r="H103" s="1">
        <v>0.35</v>
      </c>
      <c r="I103" s="1">
        <v>-1.51</v>
      </c>
      <c r="J103" s="1">
        <v>182</v>
      </c>
      <c r="K103" s="1"/>
      <c r="L103" s="1">
        <v>0</v>
      </c>
    </row>
    <row r="104" spans="1:12">
      <c r="A104" s="1" t="str">
        <f>"880632"</f>
        <v>880632</v>
      </c>
      <c r="B104" s="1" t="s">
        <v>127</v>
      </c>
      <c r="C104" s="1">
        <v>-2.95</v>
      </c>
      <c r="D104" s="1">
        <v>855.47</v>
      </c>
      <c r="E104" s="1">
        <v>49499906048</v>
      </c>
      <c r="F104" s="1">
        <v>-3.71</v>
      </c>
      <c r="G104" s="1">
        <v>-2.43</v>
      </c>
      <c r="H104" s="1">
        <v>-0.95</v>
      </c>
      <c r="I104" s="1">
        <v>-1.28</v>
      </c>
      <c r="J104" s="1">
        <v>94</v>
      </c>
      <c r="K104" s="1"/>
      <c r="L104" s="1">
        <v>0</v>
      </c>
    </row>
    <row r="105" spans="1:12">
      <c r="A105" s="1" t="str">
        <f>"880583"</f>
        <v>880583</v>
      </c>
      <c r="B105" s="1" t="s">
        <v>128</v>
      </c>
      <c r="C105" s="1">
        <v>-2.96</v>
      </c>
      <c r="D105" s="1">
        <v>4574.21</v>
      </c>
      <c r="E105" s="3" t="s">
        <v>129</v>
      </c>
      <c r="F105" s="1">
        <v>-3.6</v>
      </c>
      <c r="G105" s="1">
        <v>-2.5</v>
      </c>
      <c r="H105" s="1">
        <v>-1.57</v>
      </c>
      <c r="I105" s="1">
        <v>-1.1</v>
      </c>
      <c r="J105" s="1">
        <v>385</v>
      </c>
      <c r="K105" s="1"/>
      <c r="L105" s="1">
        <v>0</v>
      </c>
    </row>
    <row r="106" spans="1:12">
      <c r="A106" s="1" t="str">
        <f>"880943"</f>
        <v>880943</v>
      </c>
      <c r="B106" s="1" t="s">
        <v>130</v>
      </c>
      <c r="C106" s="1">
        <v>-2.96</v>
      </c>
      <c r="D106" s="1">
        <v>1708.1</v>
      </c>
      <c r="E106" s="1">
        <v>56126971904</v>
      </c>
      <c r="F106" s="1">
        <v>-3.51</v>
      </c>
      <c r="G106" s="1">
        <v>-2.6</v>
      </c>
      <c r="H106" s="1">
        <v>-1.81</v>
      </c>
      <c r="I106" s="1">
        <v>-0.91</v>
      </c>
      <c r="J106" s="1">
        <v>117</v>
      </c>
      <c r="K106" s="1"/>
      <c r="L106" s="1">
        <v>0</v>
      </c>
    </row>
    <row r="107" spans="1:12">
      <c r="A107" s="1" t="str">
        <f>"880753"</f>
        <v>880753</v>
      </c>
      <c r="B107" s="1" t="s">
        <v>131</v>
      </c>
      <c r="C107" s="1">
        <v>-2.97</v>
      </c>
      <c r="D107" s="1">
        <v>1068.66</v>
      </c>
      <c r="E107" s="3" t="s">
        <v>132</v>
      </c>
      <c r="F107" s="1">
        <v>-2.62</v>
      </c>
      <c r="G107" s="1">
        <v>-0.97</v>
      </c>
      <c r="H107" s="1">
        <v>-0.04</v>
      </c>
      <c r="I107" s="1">
        <v>-1.65</v>
      </c>
      <c r="J107" s="1">
        <v>426</v>
      </c>
      <c r="K107" s="1"/>
      <c r="L107" s="1">
        <v>0</v>
      </c>
    </row>
    <row r="108" spans="1:12">
      <c r="A108" s="1" t="str">
        <f>"880926"</f>
        <v>880926</v>
      </c>
      <c r="B108" s="1" t="s">
        <v>133</v>
      </c>
      <c r="C108" s="1">
        <v>-2.98</v>
      </c>
      <c r="D108" s="1">
        <v>1210.52</v>
      </c>
      <c r="E108" s="1">
        <v>12100061184</v>
      </c>
      <c r="F108" s="1">
        <v>-2.36</v>
      </c>
      <c r="G108" s="1">
        <v>-0.84</v>
      </c>
      <c r="H108" s="1">
        <v>0.23</v>
      </c>
      <c r="I108" s="1">
        <v>-1.52</v>
      </c>
      <c r="J108" s="1">
        <v>101</v>
      </c>
      <c r="K108" s="1"/>
      <c r="L108" s="1">
        <v>0</v>
      </c>
    </row>
    <row r="109" spans="1:12">
      <c r="A109" s="1" t="str">
        <f>"880948"</f>
        <v>880948</v>
      </c>
      <c r="B109" s="1" t="s">
        <v>134</v>
      </c>
      <c r="C109" s="1">
        <v>-2.98</v>
      </c>
      <c r="D109" s="1">
        <v>1630.18</v>
      </c>
      <c r="E109" s="3" t="s">
        <v>135</v>
      </c>
      <c r="F109" s="1">
        <v>-2.46</v>
      </c>
      <c r="G109" s="1">
        <v>-1.25</v>
      </c>
      <c r="H109" s="1">
        <v>-0.35</v>
      </c>
      <c r="I109" s="1">
        <v>-1.2</v>
      </c>
      <c r="J109" s="1">
        <v>1075</v>
      </c>
      <c r="K109" s="1"/>
      <c r="L109" s="1">
        <v>0</v>
      </c>
    </row>
    <row r="110" spans="1:12">
      <c r="A110" s="1" t="str">
        <f>"880709"</f>
        <v>880709</v>
      </c>
      <c r="B110" s="1" t="s">
        <v>136</v>
      </c>
      <c r="C110" s="1">
        <v>-3</v>
      </c>
      <c r="D110" s="1">
        <v>1347.16</v>
      </c>
      <c r="E110" s="1">
        <v>5133498880</v>
      </c>
      <c r="F110" s="1">
        <v>-2.78</v>
      </c>
      <c r="G110" s="1">
        <v>-1.4</v>
      </c>
      <c r="H110" s="1">
        <v>0.53</v>
      </c>
      <c r="I110" s="1">
        <v>-1.37</v>
      </c>
      <c r="J110" s="1">
        <v>21</v>
      </c>
      <c r="K110" s="1"/>
      <c r="L110" s="1">
        <v>0</v>
      </c>
    </row>
    <row r="111" spans="1:12">
      <c r="A111" s="1" t="str">
        <f>"880643"</f>
        <v>880643</v>
      </c>
      <c r="B111" s="1" t="s">
        <v>137</v>
      </c>
      <c r="C111" s="1">
        <v>-3</v>
      </c>
      <c r="D111" s="1">
        <v>1445.59</v>
      </c>
      <c r="E111" s="1">
        <v>24754882560</v>
      </c>
      <c r="F111" s="1">
        <v>-0.91</v>
      </c>
      <c r="G111" s="1">
        <v>0.22</v>
      </c>
      <c r="H111" s="1">
        <v>0.69</v>
      </c>
      <c r="I111" s="1">
        <v>-1.14</v>
      </c>
      <c r="J111" s="1">
        <v>66</v>
      </c>
      <c r="K111" s="1"/>
      <c r="L111" s="1">
        <v>0</v>
      </c>
    </row>
    <row r="112" spans="1:12">
      <c r="A112" s="1" t="str">
        <f>"880762"</f>
        <v>880762</v>
      </c>
      <c r="B112" s="1" t="s">
        <v>138</v>
      </c>
      <c r="C112" s="1">
        <v>-3.01</v>
      </c>
      <c r="D112" s="1">
        <v>1328.39</v>
      </c>
      <c r="E112" s="1">
        <v>77624459264</v>
      </c>
      <c r="F112" s="1">
        <v>-2.11</v>
      </c>
      <c r="G112" s="1">
        <v>-0.94</v>
      </c>
      <c r="H112" s="1">
        <v>-0.27</v>
      </c>
      <c r="I112" s="1">
        <v>-1.17</v>
      </c>
      <c r="J112" s="1">
        <v>289</v>
      </c>
      <c r="K112" s="1"/>
      <c r="L112" s="1">
        <v>0</v>
      </c>
    </row>
    <row r="113" spans="1:12">
      <c r="A113" s="1" t="str">
        <f>"880654"</f>
        <v>880654</v>
      </c>
      <c r="B113" s="1" t="s">
        <v>139</v>
      </c>
      <c r="C113" s="1">
        <v>-3.01</v>
      </c>
      <c r="D113" s="1">
        <v>1545.45</v>
      </c>
      <c r="E113" s="1">
        <v>57152311296</v>
      </c>
      <c r="F113" s="1">
        <v>-0.97</v>
      </c>
      <c r="G113" s="1">
        <v>0.17</v>
      </c>
      <c r="H113" s="1">
        <v>0.51</v>
      </c>
      <c r="I113" s="1">
        <v>-1.14</v>
      </c>
      <c r="J113" s="1">
        <v>137</v>
      </c>
      <c r="K113" s="1"/>
      <c r="L113" s="1">
        <v>0</v>
      </c>
    </row>
    <row r="114" spans="1:12">
      <c r="A114" s="1" t="str">
        <f>"880921"</f>
        <v>880921</v>
      </c>
      <c r="B114" s="1" t="s">
        <v>140</v>
      </c>
      <c r="C114" s="1">
        <v>-3.01</v>
      </c>
      <c r="D114" s="1">
        <v>1543.42</v>
      </c>
      <c r="E114" s="3" t="s">
        <v>141</v>
      </c>
      <c r="F114" s="1">
        <v>-2.08</v>
      </c>
      <c r="G114" s="1">
        <v>-0.85</v>
      </c>
      <c r="H114" s="1">
        <v>-0.22</v>
      </c>
      <c r="I114" s="1">
        <v>-1.23</v>
      </c>
      <c r="J114" s="1">
        <v>351</v>
      </c>
      <c r="K114" s="1"/>
      <c r="L114" s="1">
        <v>0</v>
      </c>
    </row>
    <row r="115" spans="1:12">
      <c r="A115" s="1" t="str">
        <f>"880798"</f>
        <v>880798</v>
      </c>
      <c r="B115" s="1" t="s">
        <v>142</v>
      </c>
      <c r="C115" s="1">
        <v>-3.02</v>
      </c>
      <c r="D115" s="1">
        <v>2209.13</v>
      </c>
      <c r="E115" s="1">
        <v>20066635776</v>
      </c>
      <c r="F115" s="1">
        <v>-4.8</v>
      </c>
      <c r="G115" s="1">
        <v>-3.75</v>
      </c>
      <c r="H115" s="1">
        <v>-2.83</v>
      </c>
      <c r="I115" s="1">
        <v>-1.05</v>
      </c>
      <c r="J115" s="1">
        <v>49</v>
      </c>
      <c r="K115" s="1"/>
      <c r="L115" s="1">
        <v>0</v>
      </c>
    </row>
    <row r="116" spans="1:12">
      <c r="A116" s="1" t="str">
        <f>"880748"</f>
        <v>880748</v>
      </c>
      <c r="B116" s="1" t="s">
        <v>143</v>
      </c>
      <c r="C116" s="1">
        <v>-3.03</v>
      </c>
      <c r="D116" s="1">
        <v>1708.59</v>
      </c>
      <c r="E116" s="1">
        <v>70586425344</v>
      </c>
      <c r="F116" s="1">
        <v>-1.97</v>
      </c>
      <c r="G116" s="1">
        <v>-0.84</v>
      </c>
      <c r="H116" s="1">
        <v>-0.46</v>
      </c>
      <c r="I116" s="1">
        <v>-1.12</v>
      </c>
      <c r="J116" s="1">
        <v>177</v>
      </c>
      <c r="K116" s="1"/>
      <c r="L116" s="1">
        <v>0</v>
      </c>
    </row>
    <row r="117" spans="1:12">
      <c r="A117" s="1" t="str">
        <f>"880711"</f>
        <v>880711</v>
      </c>
      <c r="B117" s="1" t="s">
        <v>144</v>
      </c>
      <c r="C117" s="1">
        <v>-3.03</v>
      </c>
      <c r="D117" s="1">
        <v>1160.9</v>
      </c>
      <c r="E117" s="1">
        <v>29375340544</v>
      </c>
      <c r="F117" s="1">
        <v>-2.53</v>
      </c>
      <c r="G117" s="1">
        <v>-1.35</v>
      </c>
      <c r="H117" s="1">
        <v>-0.78</v>
      </c>
      <c r="I117" s="1">
        <v>-1.17</v>
      </c>
      <c r="J117" s="1">
        <v>56</v>
      </c>
      <c r="K117" s="1"/>
      <c r="L117" s="1">
        <v>0</v>
      </c>
    </row>
    <row r="118" spans="1:12">
      <c r="A118" s="1" t="str">
        <f>"880957"</f>
        <v>880957</v>
      </c>
      <c r="B118" s="1" t="s">
        <v>145</v>
      </c>
      <c r="C118" s="1">
        <v>-3.03</v>
      </c>
      <c r="D118" s="1">
        <v>1962.35</v>
      </c>
      <c r="E118" s="3" t="s">
        <v>146</v>
      </c>
      <c r="F118" s="1">
        <v>-3.27</v>
      </c>
      <c r="G118" s="1">
        <v>-2.02</v>
      </c>
      <c r="H118" s="1">
        <v>-1.04</v>
      </c>
      <c r="I118" s="1">
        <v>-1.25</v>
      </c>
      <c r="J118" s="1">
        <v>379</v>
      </c>
      <c r="K118" s="1"/>
      <c r="L118" s="1">
        <v>0</v>
      </c>
    </row>
    <row r="119" spans="1:12">
      <c r="A119" s="1" t="str">
        <f>"880742"</f>
        <v>880742</v>
      </c>
      <c r="B119" s="1" t="s">
        <v>147</v>
      </c>
      <c r="C119" s="1">
        <v>-3.04</v>
      </c>
      <c r="D119" s="1">
        <v>1138.98</v>
      </c>
      <c r="E119" s="3" t="s">
        <v>148</v>
      </c>
      <c r="F119" s="1">
        <v>-4.38</v>
      </c>
      <c r="G119" s="1">
        <v>-3.27</v>
      </c>
      <c r="H119" s="1">
        <v>-1.95</v>
      </c>
      <c r="I119" s="1">
        <v>-1.12</v>
      </c>
      <c r="J119" s="1">
        <v>299</v>
      </c>
      <c r="K119" s="1"/>
      <c r="L119" s="1">
        <v>0</v>
      </c>
    </row>
    <row r="120" spans="1:12">
      <c r="A120" s="1" t="str">
        <f>"880910"</f>
        <v>880910</v>
      </c>
      <c r="B120" s="1" t="s">
        <v>149</v>
      </c>
      <c r="C120" s="1">
        <v>-3.04</v>
      </c>
      <c r="D120" s="1">
        <v>1608.2</v>
      </c>
      <c r="E120" s="1">
        <v>2324300800</v>
      </c>
      <c r="F120" s="1">
        <v>-3.75</v>
      </c>
      <c r="G120" s="1">
        <v>-2.4</v>
      </c>
      <c r="H120" s="1">
        <v>-0.42</v>
      </c>
      <c r="I120" s="1">
        <v>-1.35</v>
      </c>
      <c r="J120" s="1">
        <v>17</v>
      </c>
      <c r="K120" s="1"/>
      <c r="L120" s="1">
        <v>0</v>
      </c>
    </row>
    <row r="121" spans="1:12">
      <c r="A121" s="1" t="str">
        <f>"880533"</f>
        <v>880533</v>
      </c>
      <c r="B121" s="1" t="s">
        <v>150</v>
      </c>
      <c r="C121" s="1">
        <v>-3.04</v>
      </c>
      <c r="D121" s="1">
        <v>2048.12</v>
      </c>
      <c r="E121" s="3" t="s">
        <v>151</v>
      </c>
      <c r="F121" s="1">
        <v>-3.31</v>
      </c>
      <c r="G121" s="1">
        <v>-2.22</v>
      </c>
      <c r="H121" s="1">
        <v>-1.36</v>
      </c>
      <c r="I121" s="1">
        <v>-1.08</v>
      </c>
      <c r="J121" s="1">
        <v>517</v>
      </c>
      <c r="K121" s="1"/>
      <c r="L121" s="1">
        <v>0</v>
      </c>
    </row>
    <row r="122" spans="1:12">
      <c r="A122" s="1" t="str">
        <f>"880949"</f>
        <v>880949</v>
      </c>
      <c r="B122" s="1" t="s">
        <v>152</v>
      </c>
      <c r="C122" s="1">
        <v>-3.05</v>
      </c>
      <c r="D122" s="1">
        <v>962.91</v>
      </c>
      <c r="E122" s="1">
        <v>87780048896</v>
      </c>
      <c r="F122" s="1">
        <v>-2.41</v>
      </c>
      <c r="G122" s="1">
        <v>-1.1</v>
      </c>
      <c r="H122" s="1">
        <v>-0.23</v>
      </c>
      <c r="I122" s="1">
        <v>-1.3</v>
      </c>
      <c r="J122" s="1">
        <v>381</v>
      </c>
      <c r="K122" s="1"/>
      <c r="L122" s="1">
        <v>0</v>
      </c>
    </row>
    <row r="123" spans="1:12">
      <c r="A123" s="1" t="str">
        <f>"880601"</f>
        <v>880601</v>
      </c>
      <c r="B123" s="1" t="s">
        <v>153</v>
      </c>
      <c r="C123" s="1">
        <v>-3.05</v>
      </c>
      <c r="D123" s="1">
        <v>1237.99</v>
      </c>
      <c r="E123" s="1">
        <v>50323750912</v>
      </c>
      <c r="F123" s="1">
        <v>-1.5</v>
      </c>
      <c r="G123" s="1">
        <v>-0.2</v>
      </c>
      <c r="H123" s="1">
        <v>0.38</v>
      </c>
      <c r="I123" s="1">
        <v>-1.3</v>
      </c>
      <c r="J123" s="1">
        <v>222</v>
      </c>
      <c r="K123" s="1"/>
      <c r="L123" s="1">
        <v>0</v>
      </c>
    </row>
    <row r="124" spans="1:12">
      <c r="A124" s="1" t="str">
        <f>"880916"</f>
        <v>880916</v>
      </c>
      <c r="B124" s="1" t="s">
        <v>154</v>
      </c>
      <c r="C124" s="1">
        <v>-3.05</v>
      </c>
      <c r="D124" s="1">
        <v>2073.04</v>
      </c>
      <c r="E124" s="1">
        <v>64455356416</v>
      </c>
      <c r="F124" s="1">
        <v>-1.97</v>
      </c>
      <c r="G124" s="1">
        <v>-0.67</v>
      </c>
      <c r="H124" s="1">
        <v>0.05</v>
      </c>
      <c r="I124" s="1">
        <v>-1.3</v>
      </c>
      <c r="J124" s="1">
        <v>261</v>
      </c>
      <c r="K124" s="1"/>
      <c r="L124" s="1">
        <v>0</v>
      </c>
    </row>
    <row r="125" spans="1:12">
      <c r="A125" s="1" t="str">
        <f>"880922"</f>
        <v>880922</v>
      </c>
      <c r="B125" s="1" t="s">
        <v>155</v>
      </c>
      <c r="C125" s="1">
        <v>-3.06</v>
      </c>
      <c r="D125" s="1">
        <v>1587.52</v>
      </c>
      <c r="E125" s="1">
        <v>6420452864</v>
      </c>
      <c r="F125" s="1">
        <v>-3.64</v>
      </c>
      <c r="G125" s="1">
        <v>-2.13</v>
      </c>
      <c r="H125" s="1">
        <v>-0.93</v>
      </c>
      <c r="I125" s="1">
        <v>-1.52</v>
      </c>
      <c r="J125" s="1">
        <v>24</v>
      </c>
      <c r="K125" s="1"/>
      <c r="L125" s="1">
        <v>0</v>
      </c>
    </row>
    <row r="126" spans="1:12">
      <c r="A126" s="1" t="str">
        <f>"880542"</f>
        <v>880542</v>
      </c>
      <c r="B126" s="1" t="s">
        <v>156</v>
      </c>
      <c r="C126" s="1">
        <v>-3.06</v>
      </c>
      <c r="D126" s="1">
        <v>1485.57</v>
      </c>
      <c r="E126" s="1">
        <v>56694513664</v>
      </c>
      <c r="F126" s="1">
        <v>-3.01</v>
      </c>
      <c r="G126" s="1">
        <v>-1.6</v>
      </c>
      <c r="H126" s="1">
        <v>-0.45</v>
      </c>
      <c r="I126" s="1">
        <v>-1.41</v>
      </c>
      <c r="J126" s="1">
        <v>255</v>
      </c>
      <c r="K126" s="1"/>
      <c r="L126" s="1">
        <v>0</v>
      </c>
    </row>
    <row r="127" spans="1:12">
      <c r="A127" s="1" t="str">
        <f>"880693"</f>
        <v>880693</v>
      </c>
      <c r="B127" s="1" t="s">
        <v>157</v>
      </c>
      <c r="C127" s="1">
        <v>-3.07</v>
      </c>
      <c r="D127" s="1">
        <v>1138.72</v>
      </c>
      <c r="E127" s="1">
        <v>63276560384</v>
      </c>
      <c r="F127" s="1">
        <v>-1.62</v>
      </c>
      <c r="G127" s="1">
        <v>-0.44</v>
      </c>
      <c r="H127" s="1">
        <v>-0.01</v>
      </c>
      <c r="I127" s="1">
        <v>-1.17</v>
      </c>
      <c r="J127" s="1">
        <v>154</v>
      </c>
      <c r="K127" s="1"/>
      <c r="L127" s="1">
        <v>0</v>
      </c>
    </row>
    <row r="128" spans="1:12">
      <c r="A128" s="1" t="str">
        <f>"880953"</f>
        <v>880953</v>
      </c>
      <c r="B128" s="1" t="s">
        <v>158</v>
      </c>
      <c r="C128" s="1">
        <v>-3.07</v>
      </c>
      <c r="D128" s="1">
        <v>754.53</v>
      </c>
      <c r="E128" s="1">
        <v>6488691200</v>
      </c>
      <c r="F128" s="1">
        <v>-0.69</v>
      </c>
      <c r="G128" s="1">
        <v>0.85</v>
      </c>
      <c r="H128" s="1">
        <v>2.46</v>
      </c>
      <c r="I128" s="1">
        <v>-1.54</v>
      </c>
      <c r="J128" s="1">
        <v>27</v>
      </c>
      <c r="K128" s="1"/>
      <c r="L128" s="1">
        <v>0</v>
      </c>
    </row>
    <row r="129" spans="1:12">
      <c r="A129" s="1" t="str">
        <f>"880794"</f>
        <v>880794</v>
      </c>
      <c r="B129" s="1" t="s">
        <v>159</v>
      </c>
      <c r="C129" s="1">
        <v>-3.08</v>
      </c>
      <c r="D129" s="1">
        <v>943.31</v>
      </c>
      <c r="E129" s="1">
        <v>9041602560</v>
      </c>
      <c r="F129" s="1">
        <v>-2.36</v>
      </c>
      <c r="G129" s="1">
        <v>-1.23</v>
      </c>
      <c r="H129" s="1">
        <v>-0.53</v>
      </c>
      <c r="I129" s="1">
        <v>-1.13</v>
      </c>
      <c r="J129" s="1">
        <v>37</v>
      </c>
      <c r="K129" s="1"/>
      <c r="L129" s="1">
        <v>0</v>
      </c>
    </row>
    <row r="130" spans="1:12">
      <c r="A130" s="1" t="str">
        <f>"880930"</f>
        <v>880930</v>
      </c>
      <c r="B130" s="1" t="s">
        <v>160</v>
      </c>
      <c r="C130" s="1">
        <v>-3.08</v>
      </c>
      <c r="D130" s="1">
        <v>2656.54</v>
      </c>
      <c r="E130" s="3" t="s">
        <v>161</v>
      </c>
      <c r="F130" s="1">
        <v>-4.39</v>
      </c>
      <c r="G130" s="1">
        <v>-3.68</v>
      </c>
      <c r="H130" s="1">
        <v>-2.95</v>
      </c>
      <c r="I130" s="1">
        <v>-0.71</v>
      </c>
      <c r="J130" s="1">
        <v>413</v>
      </c>
      <c r="K130" s="1"/>
      <c r="L130" s="1">
        <v>0</v>
      </c>
    </row>
    <row r="131" spans="1:12">
      <c r="A131" s="1" t="str">
        <f>"880624"</f>
        <v>880624</v>
      </c>
      <c r="B131" s="1" t="s">
        <v>162</v>
      </c>
      <c r="C131" s="1">
        <v>-3.09</v>
      </c>
      <c r="D131" s="1">
        <v>1043.74</v>
      </c>
      <c r="E131" s="1">
        <v>24922847232</v>
      </c>
      <c r="F131" s="1">
        <v>-2.7</v>
      </c>
      <c r="G131" s="1">
        <v>-1.35</v>
      </c>
      <c r="H131" s="1">
        <v>-0.04</v>
      </c>
      <c r="I131" s="1">
        <v>-1.35</v>
      </c>
      <c r="J131" s="1">
        <v>215</v>
      </c>
      <c r="K131" s="1"/>
      <c r="L131" s="1">
        <v>0</v>
      </c>
    </row>
    <row r="132" spans="1:12">
      <c r="A132" s="1" t="str">
        <f>"880580"</f>
        <v>880580</v>
      </c>
      <c r="B132" s="1" t="s">
        <v>163</v>
      </c>
      <c r="C132" s="1">
        <v>-3.09</v>
      </c>
      <c r="D132" s="1">
        <v>3712.5</v>
      </c>
      <c r="E132" s="1">
        <v>44121964544</v>
      </c>
      <c r="F132" s="1">
        <v>-2.36</v>
      </c>
      <c r="G132" s="1">
        <v>-1.04</v>
      </c>
      <c r="H132" s="1">
        <v>-0.42</v>
      </c>
      <c r="I132" s="1">
        <v>-1.32</v>
      </c>
      <c r="J132" s="1">
        <v>211</v>
      </c>
      <c r="K132" s="1"/>
      <c r="L132" s="1">
        <v>0</v>
      </c>
    </row>
    <row r="133" spans="1:12">
      <c r="A133" s="1" t="str">
        <f>"880605"</f>
        <v>880605</v>
      </c>
      <c r="B133" s="1" t="s">
        <v>164</v>
      </c>
      <c r="C133" s="1">
        <v>-3.09</v>
      </c>
      <c r="D133" s="1">
        <v>1195</v>
      </c>
      <c r="E133" s="1">
        <v>15949550592</v>
      </c>
      <c r="F133" s="1">
        <v>-1.6</v>
      </c>
      <c r="G133" s="1">
        <v>0</v>
      </c>
      <c r="H133" s="1">
        <v>1.26</v>
      </c>
      <c r="I133" s="1">
        <v>-1.6</v>
      </c>
      <c r="J133" s="1">
        <v>113</v>
      </c>
      <c r="K133" s="1"/>
      <c r="L133" s="1">
        <v>0</v>
      </c>
    </row>
    <row r="134" spans="1:12">
      <c r="A134" s="1" t="str">
        <f>"880972"</f>
        <v>880972</v>
      </c>
      <c r="B134" s="1" t="s">
        <v>165</v>
      </c>
      <c r="C134" s="1">
        <v>-3.09</v>
      </c>
      <c r="D134" s="1">
        <v>1015.69</v>
      </c>
      <c r="E134" s="1">
        <v>30883272704</v>
      </c>
      <c r="F134" s="1">
        <v>-3.17</v>
      </c>
      <c r="G134" s="1">
        <v>-1.63</v>
      </c>
      <c r="H134" s="1">
        <v>-0.5</v>
      </c>
      <c r="I134" s="1">
        <v>-1.53</v>
      </c>
      <c r="J134" s="1">
        <v>101</v>
      </c>
      <c r="K134" s="1"/>
      <c r="L134" s="1">
        <v>0</v>
      </c>
    </row>
    <row r="135" spans="1:12">
      <c r="A135" s="1" t="str">
        <f>"880724"</f>
        <v>880724</v>
      </c>
      <c r="B135" s="1" t="s">
        <v>166</v>
      </c>
      <c r="C135" s="1">
        <v>-3.11</v>
      </c>
      <c r="D135" s="1">
        <v>1198.07</v>
      </c>
      <c r="E135" s="1">
        <v>13121608704</v>
      </c>
      <c r="F135" s="1">
        <v>-2.22</v>
      </c>
      <c r="G135" s="1">
        <v>-0.68</v>
      </c>
      <c r="H135" s="1">
        <v>0.57</v>
      </c>
      <c r="I135" s="1">
        <v>-1.54</v>
      </c>
      <c r="J135" s="1">
        <v>106</v>
      </c>
      <c r="K135" s="1"/>
      <c r="L135" s="1">
        <v>0</v>
      </c>
    </row>
    <row r="136" spans="1:12">
      <c r="A136" s="1" t="str">
        <f>"880759"</f>
        <v>880759</v>
      </c>
      <c r="B136" s="1" t="s">
        <v>167</v>
      </c>
      <c r="C136" s="1">
        <v>-3.11</v>
      </c>
      <c r="D136" s="1">
        <v>973.23</v>
      </c>
      <c r="E136" s="1">
        <v>20146042880</v>
      </c>
      <c r="F136" s="1">
        <v>-3.14</v>
      </c>
      <c r="G136" s="1">
        <v>-1.91</v>
      </c>
      <c r="H136" s="1">
        <v>-0.83</v>
      </c>
      <c r="I136" s="1">
        <v>-1.23</v>
      </c>
      <c r="J136" s="1">
        <v>94</v>
      </c>
      <c r="K136" s="1"/>
      <c r="L136" s="1">
        <v>0</v>
      </c>
    </row>
    <row r="137" spans="1:12">
      <c r="A137" s="1" t="str">
        <f>"880558"</f>
        <v>880558</v>
      </c>
      <c r="B137" s="1" t="s">
        <v>168</v>
      </c>
      <c r="C137" s="1">
        <v>-3.11</v>
      </c>
      <c r="D137" s="1">
        <v>3146.13</v>
      </c>
      <c r="E137" s="1">
        <v>56623235072</v>
      </c>
      <c r="F137" s="1">
        <v>-3.49</v>
      </c>
      <c r="G137" s="1">
        <v>-2.13</v>
      </c>
      <c r="H137" s="1">
        <v>-0.88</v>
      </c>
      <c r="I137" s="1">
        <v>-1.35</v>
      </c>
      <c r="J137" s="1">
        <v>351</v>
      </c>
      <c r="K137" s="1"/>
      <c r="L137" s="1">
        <v>0</v>
      </c>
    </row>
    <row r="138" spans="1:12">
      <c r="A138" s="1" t="str">
        <f>"880730"</f>
        <v>880730</v>
      </c>
      <c r="B138" s="1" t="s">
        <v>169</v>
      </c>
      <c r="C138" s="1">
        <v>-3.12</v>
      </c>
      <c r="D138" s="1">
        <v>1532.08</v>
      </c>
      <c r="E138" s="3" t="s">
        <v>170</v>
      </c>
      <c r="F138" s="1">
        <v>-3.87</v>
      </c>
      <c r="G138" s="1">
        <v>-2.65</v>
      </c>
      <c r="H138" s="1">
        <v>-1.62</v>
      </c>
      <c r="I138" s="1">
        <v>-1.22</v>
      </c>
      <c r="J138" s="1">
        <v>920</v>
      </c>
      <c r="K138" s="1"/>
      <c r="L138" s="1">
        <v>0</v>
      </c>
    </row>
    <row r="139" spans="1:12">
      <c r="A139" s="1" t="str">
        <f>"880962"</f>
        <v>880962</v>
      </c>
      <c r="B139" s="1" t="s">
        <v>171</v>
      </c>
      <c r="C139" s="1">
        <v>-3.13</v>
      </c>
      <c r="D139" s="1">
        <v>1644.19</v>
      </c>
      <c r="E139" s="1">
        <v>93546946560</v>
      </c>
      <c r="F139" s="1">
        <v>-1.81</v>
      </c>
      <c r="G139" s="1">
        <v>-0.59</v>
      </c>
      <c r="H139" s="1">
        <v>-0.09</v>
      </c>
      <c r="I139" s="1">
        <v>-1.22</v>
      </c>
      <c r="J139" s="1">
        <v>230</v>
      </c>
      <c r="K139" s="1"/>
      <c r="L139" s="1">
        <v>0</v>
      </c>
    </row>
    <row r="140" spans="1:12">
      <c r="A140" s="1" t="str">
        <f>"880958"</f>
        <v>880958</v>
      </c>
      <c r="B140" s="1" t="s">
        <v>172</v>
      </c>
      <c r="C140" s="1">
        <v>-3.13</v>
      </c>
      <c r="D140" s="1">
        <v>775.7</v>
      </c>
      <c r="E140" s="1">
        <v>25962958848</v>
      </c>
      <c r="F140" s="1">
        <v>0.98</v>
      </c>
      <c r="G140" s="1">
        <v>1.97</v>
      </c>
      <c r="H140" s="1">
        <v>1.89</v>
      </c>
      <c r="I140" s="1">
        <v>-0.99</v>
      </c>
      <c r="J140" s="1">
        <v>44</v>
      </c>
      <c r="K140" s="1"/>
      <c r="L140" s="1">
        <v>0</v>
      </c>
    </row>
    <row r="141" spans="1:12">
      <c r="A141" s="1" t="str">
        <f>"880534"</f>
        <v>880534</v>
      </c>
      <c r="B141" s="1" t="s">
        <v>173</v>
      </c>
      <c r="C141" s="1">
        <v>-3.13</v>
      </c>
      <c r="D141" s="1">
        <v>2850.92</v>
      </c>
      <c r="E141" s="3" t="s">
        <v>174</v>
      </c>
      <c r="F141" s="1">
        <v>-4.31</v>
      </c>
      <c r="G141" s="1">
        <v>-3.14</v>
      </c>
      <c r="H141" s="1">
        <v>-1.94</v>
      </c>
      <c r="I141" s="1">
        <v>-1.17</v>
      </c>
      <c r="J141" s="1">
        <v>618</v>
      </c>
      <c r="K141" s="1"/>
      <c r="L141" s="1">
        <v>0</v>
      </c>
    </row>
    <row r="142" spans="1:12">
      <c r="A142" s="1" t="str">
        <f>"880637"</f>
        <v>880637</v>
      </c>
      <c r="B142" s="1" t="s">
        <v>175</v>
      </c>
      <c r="C142" s="1">
        <v>-3.13</v>
      </c>
      <c r="D142" s="1">
        <v>1147.66</v>
      </c>
      <c r="E142" s="1">
        <v>6055987200</v>
      </c>
      <c r="F142" s="1">
        <v>-5.28</v>
      </c>
      <c r="G142" s="1">
        <v>-4.64</v>
      </c>
      <c r="H142" s="1">
        <v>-4.57</v>
      </c>
      <c r="I142" s="1">
        <v>-0.64</v>
      </c>
      <c r="J142" s="1">
        <v>17</v>
      </c>
      <c r="K142" s="1"/>
      <c r="L142" s="1">
        <v>0</v>
      </c>
    </row>
    <row r="143" spans="1:12">
      <c r="A143" s="1" t="str">
        <f>"880629"</f>
        <v>880629</v>
      </c>
      <c r="B143" s="1" t="s">
        <v>176</v>
      </c>
      <c r="C143" s="1">
        <v>-3.14</v>
      </c>
      <c r="D143" s="1">
        <v>1611.64</v>
      </c>
      <c r="E143" s="1">
        <v>41480495104</v>
      </c>
      <c r="F143" s="1">
        <v>-5.43</v>
      </c>
      <c r="G143" s="1">
        <v>-4.91</v>
      </c>
      <c r="H143" s="1">
        <v>-3.92</v>
      </c>
      <c r="I143" s="1">
        <v>-0.52</v>
      </c>
      <c r="J143" s="1">
        <v>81</v>
      </c>
      <c r="K143" s="1"/>
      <c r="L143" s="1">
        <v>0</v>
      </c>
    </row>
    <row r="144" spans="1:12">
      <c r="A144" s="1" t="str">
        <f>"880945"</f>
        <v>880945</v>
      </c>
      <c r="B144" s="1" t="s">
        <v>177</v>
      </c>
      <c r="C144" s="1">
        <v>-3.14</v>
      </c>
      <c r="D144" s="1">
        <v>2204.1</v>
      </c>
      <c r="E144" s="3" t="s">
        <v>178</v>
      </c>
      <c r="F144" s="1">
        <v>-6.09</v>
      </c>
      <c r="G144" s="1">
        <v>-5.69</v>
      </c>
      <c r="H144" s="1">
        <v>-4.89</v>
      </c>
      <c r="I144" s="1">
        <v>-0.4</v>
      </c>
      <c r="J144" s="1">
        <v>155</v>
      </c>
      <c r="K144" s="1"/>
      <c r="L144" s="1">
        <v>0</v>
      </c>
    </row>
    <row r="145" spans="1:12">
      <c r="A145" s="1" t="str">
        <f>"880944"</f>
        <v>880944</v>
      </c>
      <c r="B145" s="1" t="s">
        <v>179</v>
      </c>
      <c r="C145" s="1">
        <v>-3.14</v>
      </c>
      <c r="D145" s="1">
        <v>2526.15</v>
      </c>
      <c r="E145" s="3" t="s">
        <v>180</v>
      </c>
      <c r="F145" s="1">
        <v>-3.78</v>
      </c>
      <c r="G145" s="1">
        <v>-2.8</v>
      </c>
      <c r="H145" s="1">
        <v>-1.97</v>
      </c>
      <c r="I145" s="1">
        <v>-0.99</v>
      </c>
      <c r="J145" s="1">
        <v>408</v>
      </c>
      <c r="K145" s="1"/>
      <c r="L145" s="1">
        <v>0</v>
      </c>
    </row>
    <row r="146" spans="1:12">
      <c r="A146" s="1" t="str">
        <f>"880513"</f>
        <v>880513</v>
      </c>
      <c r="B146" s="1" t="s">
        <v>181</v>
      </c>
      <c r="C146" s="1">
        <v>-3.15</v>
      </c>
      <c r="D146" s="1">
        <v>1996.18</v>
      </c>
      <c r="E146" s="1">
        <v>57510338560</v>
      </c>
      <c r="F146" s="1">
        <v>-2.43</v>
      </c>
      <c r="G146" s="1">
        <v>-0.93</v>
      </c>
      <c r="H146" s="1">
        <v>0.02</v>
      </c>
      <c r="I146" s="1">
        <v>-1.5</v>
      </c>
      <c r="J146" s="1">
        <v>168</v>
      </c>
      <c r="K146" s="1"/>
      <c r="L146" s="1">
        <v>0</v>
      </c>
    </row>
    <row r="147" spans="1:12">
      <c r="A147" s="1" t="str">
        <f>"880552"</f>
        <v>880552</v>
      </c>
      <c r="B147" s="1" t="s">
        <v>182</v>
      </c>
      <c r="C147" s="1">
        <v>-3.15</v>
      </c>
      <c r="D147" s="1">
        <v>1325.63</v>
      </c>
      <c r="E147" s="1">
        <v>83335176192</v>
      </c>
      <c r="F147" s="1">
        <v>-3.01</v>
      </c>
      <c r="G147" s="1">
        <v>-1.85</v>
      </c>
      <c r="H147" s="1">
        <v>-1.08</v>
      </c>
      <c r="I147" s="1">
        <v>-1.16</v>
      </c>
      <c r="J147" s="1">
        <v>295</v>
      </c>
      <c r="K147" s="1"/>
      <c r="L147" s="1">
        <v>0</v>
      </c>
    </row>
    <row r="148" spans="1:12">
      <c r="A148" s="1" t="str">
        <f>"880579"</f>
        <v>880579</v>
      </c>
      <c r="B148" s="1" t="s">
        <v>183</v>
      </c>
      <c r="C148" s="1">
        <v>-3.15</v>
      </c>
      <c r="D148" s="1">
        <v>1121.94</v>
      </c>
      <c r="E148" s="1">
        <v>31668584448</v>
      </c>
      <c r="F148" s="1">
        <v>-0.6</v>
      </c>
      <c r="G148" s="1">
        <v>0.61</v>
      </c>
      <c r="H148" s="1">
        <v>1.04</v>
      </c>
      <c r="I148" s="1">
        <v>-1.21</v>
      </c>
      <c r="J148" s="1">
        <v>71</v>
      </c>
      <c r="K148" s="1"/>
      <c r="L148" s="1">
        <v>0</v>
      </c>
    </row>
    <row r="149" spans="1:12">
      <c r="A149" s="1" t="str">
        <f>"880630"</f>
        <v>880630</v>
      </c>
      <c r="B149" s="1" t="s">
        <v>184</v>
      </c>
      <c r="C149" s="1">
        <v>-3.16</v>
      </c>
      <c r="D149" s="1">
        <v>1310.66</v>
      </c>
      <c r="E149" s="1">
        <v>39659765760</v>
      </c>
      <c r="F149" s="1">
        <v>-3.35</v>
      </c>
      <c r="G149" s="1">
        <v>-1.91</v>
      </c>
      <c r="H149" s="1">
        <v>-0.92</v>
      </c>
      <c r="I149" s="1">
        <v>-1.44</v>
      </c>
      <c r="J149" s="1">
        <v>158</v>
      </c>
      <c r="K149" s="1"/>
      <c r="L149" s="1">
        <v>0</v>
      </c>
    </row>
    <row r="150" spans="1:12">
      <c r="A150" s="1" t="str">
        <f>"880696"</f>
        <v>880696</v>
      </c>
      <c r="B150" s="1" t="s">
        <v>185</v>
      </c>
      <c r="C150" s="1">
        <v>-3.17</v>
      </c>
      <c r="D150" s="1">
        <v>1338.72</v>
      </c>
      <c r="E150" s="1">
        <v>47983964160</v>
      </c>
      <c r="F150" s="1">
        <v>-4.83</v>
      </c>
      <c r="G150" s="1">
        <v>-3.95</v>
      </c>
      <c r="H150" s="1">
        <v>-2.93</v>
      </c>
      <c r="I150" s="1">
        <v>-0.88</v>
      </c>
      <c r="J150" s="1">
        <v>134</v>
      </c>
      <c r="K150" s="1"/>
      <c r="L150" s="1">
        <v>0</v>
      </c>
    </row>
    <row r="151" spans="1:12">
      <c r="A151" s="1" t="str">
        <f>"880942"</f>
        <v>880942</v>
      </c>
      <c r="B151" s="1" t="s">
        <v>186</v>
      </c>
      <c r="C151" s="1">
        <v>-3.19</v>
      </c>
      <c r="D151" s="1">
        <v>1067.73</v>
      </c>
      <c r="E151" s="3" t="s">
        <v>187</v>
      </c>
      <c r="F151" s="1">
        <v>-3.35</v>
      </c>
      <c r="G151" s="1">
        <v>-2.36</v>
      </c>
      <c r="H151" s="1">
        <v>-1.74</v>
      </c>
      <c r="I151" s="1">
        <v>-0.99</v>
      </c>
      <c r="J151" s="1">
        <v>272</v>
      </c>
      <c r="K151" s="1"/>
      <c r="L151" s="1">
        <v>0</v>
      </c>
    </row>
    <row r="152" spans="1:12">
      <c r="A152" s="1" t="str">
        <f>"880713"</f>
        <v>880713</v>
      </c>
      <c r="B152" s="1" t="s">
        <v>188</v>
      </c>
      <c r="C152" s="1">
        <v>-3.19</v>
      </c>
      <c r="D152" s="1">
        <v>1762.65</v>
      </c>
      <c r="E152" s="1">
        <v>6705766912</v>
      </c>
      <c r="F152" s="1">
        <v>-2.12</v>
      </c>
      <c r="G152" s="1">
        <v>-0.74</v>
      </c>
      <c r="H152" s="1">
        <v>0.06</v>
      </c>
      <c r="I152" s="1">
        <v>-1.38</v>
      </c>
      <c r="J152" s="1">
        <v>44</v>
      </c>
      <c r="K152" s="1"/>
      <c r="L152" s="1">
        <v>0</v>
      </c>
    </row>
    <row r="153" spans="1:12">
      <c r="A153" s="1" t="str">
        <f>"880909"</f>
        <v>880909</v>
      </c>
      <c r="B153" s="1" t="s">
        <v>189</v>
      </c>
      <c r="C153" s="1">
        <v>-3.19</v>
      </c>
      <c r="D153" s="1">
        <v>2011.82</v>
      </c>
      <c r="E153" s="1">
        <v>65155428352</v>
      </c>
      <c r="F153" s="1">
        <v>-4.25</v>
      </c>
      <c r="G153" s="1">
        <v>-3.03</v>
      </c>
      <c r="H153" s="1">
        <v>-1.71</v>
      </c>
      <c r="I153" s="1">
        <v>-1.22</v>
      </c>
      <c r="J153" s="1">
        <v>215</v>
      </c>
      <c r="K153" s="1"/>
      <c r="L153" s="1">
        <v>0</v>
      </c>
    </row>
    <row r="154" spans="1:12">
      <c r="A154" s="1" t="str">
        <f>"880975"</f>
        <v>880975</v>
      </c>
      <c r="B154" s="1" t="s">
        <v>190</v>
      </c>
      <c r="C154" s="1">
        <v>-3.2</v>
      </c>
      <c r="D154" s="1">
        <v>1762.59</v>
      </c>
      <c r="E154" s="1">
        <v>14362691584</v>
      </c>
      <c r="F154" s="1">
        <v>-3.34</v>
      </c>
      <c r="G154" s="1">
        <v>-1.91</v>
      </c>
      <c r="H154" s="1">
        <v>0.15</v>
      </c>
      <c r="I154" s="1">
        <v>-1.44</v>
      </c>
      <c r="J154" s="1">
        <v>54</v>
      </c>
      <c r="K154" s="1"/>
      <c r="L154" s="1">
        <v>0</v>
      </c>
    </row>
    <row r="155" spans="1:12">
      <c r="A155" s="1" t="str">
        <f>"880939"</f>
        <v>880939</v>
      </c>
      <c r="B155" s="1" t="s">
        <v>191</v>
      </c>
      <c r="C155" s="1">
        <v>-3.2</v>
      </c>
      <c r="D155" s="1">
        <v>841.36</v>
      </c>
      <c r="E155" s="3" t="s">
        <v>192</v>
      </c>
      <c r="F155" s="1">
        <v>-3.93</v>
      </c>
      <c r="G155" s="1">
        <v>-2.82</v>
      </c>
      <c r="H155" s="1">
        <v>-2.11</v>
      </c>
      <c r="I155" s="1">
        <v>-1.1</v>
      </c>
      <c r="J155" s="1">
        <v>469</v>
      </c>
      <c r="K155" s="1"/>
      <c r="L155" s="1">
        <v>0</v>
      </c>
    </row>
    <row r="156" spans="1:12">
      <c r="A156" s="1" t="str">
        <f>"880545"</f>
        <v>880545</v>
      </c>
      <c r="B156" s="1" t="s">
        <v>193</v>
      </c>
      <c r="C156" s="1">
        <v>-3.21</v>
      </c>
      <c r="D156" s="1">
        <v>2727.06</v>
      </c>
      <c r="E156" s="1">
        <v>97515675648</v>
      </c>
      <c r="F156" s="1">
        <v>-2.6</v>
      </c>
      <c r="G156" s="1">
        <v>-1.42</v>
      </c>
      <c r="H156" s="1">
        <v>-0.82</v>
      </c>
      <c r="I156" s="1">
        <v>-1.18</v>
      </c>
      <c r="J156" s="1">
        <v>204</v>
      </c>
      <c r="K156" s="1"/>
      <c r="L156" s="1">
        <v>0</v>
      </c>
    </row>
    <row r="157" spans="1:12">
      <c r="A157" s="1" t="str">
        <f>"880969"</f>
        <v>880969</v>
      </c>
      <c r="B157" s="1" t="s">
        <v>194</v>
      </c>
      <c r="C157" s="1">
        <v>-3.21</v>
      </c>
      <c r="D157" s="1">
        <v>2627.35</v>
      </c>
      <c r="E157" s="1">
        <v>49963732992</v>
      </c>
      <c r="F157" s="1">
        <v>-5.08</v>
      </c>
      <c r="G157" s="1">
        <v>-4.44</v>
      </c>
      <c r="H157" s="1">
        <v>-3.63</v>
      </c>
      <c r="I157" s="1">
        <v>-0.64</v>
      </c>
      <c r="J157" s="1">
        <v>94</v>
      </c>
      <c r="K157" s="1"/>
      <c r="L157" s="1">
        <v>0</v>
      </c>
    </row>
    <row r="158" spans="1:12">
      <c r="A158" s="1" t="str">
        <f>"880761"</f>
        <v>880761</v>
      </c>
      <c r="B158" s="1" t="s">
        <v>195</v>
      </c>
      <c r="C158" s="1">
        <v>-3.21</v>
      </c>
      <c r="D158" s="1">
        <v>927.77</v>
      </c>
      <c r="E158" s="1">
        <v>27602837504</v>
      </c>
      <c r="F158" s="1">
        <v>-4.78</v>
      </c>
      <c r="G158" s="1">
        <v>-3.62</v>
      </c>
      <c r="H158" s="1">
        <v>-2.32</v>
      </c>
      <c r="I158" s="1">
        <v>-1.16</v>
      </c>
      <c r="J158" s="1">
        <v>51</v>
      </c>
      <c r="K158" s="1"/>
      <c r="L158" s="1">
        <v>0</v>
      </c>
    </row>
    <row r="159" spans="1:12">
      <c r="A159" s="1" t="str">
        <f>"880901"</f>
        <v>880901</v>
      </c>
      <c r="B159" s="1" t="s">
        <v>196</v>
      </c>
      <c r="C159" s="1">
        <v>-3.21</v>
      </c>
      <c r="D159" s="1">
        <v>2029.69</v>
      </c>
      <c r="E159" s="1">
        <v>67038285824</v>
      </c>
      <c r="F159" s="1">
        <v>-2.05</v>
      </c>
      <c r="G159" s="1">
        <v>-0.75</v>
      </c>
      <c r="H159" s="1">
        <v>0.08</v>
      </c>
      <c r="I159" s="1">
        <v>-1.3</v>
      </c>
      <c r="J159" s="1">
        <v>218</v>
      </c>
      <c r="K159" s="1"/>
      <c r="L159" s="1">
        <v>0</v>
      </c>
    </row>
    <row r="160" spans="1:12">
      <c r="A160" s="1" t="str">
        <f>"880650"</f>
        <v>880650</v>
      </c>
      <c r="B160" s="1" t="s">
        <v>197</v>
      </c>
      <c r="C160" s="1">
        <v>-3.21</v>
      </c>
      <c r="D160" s="1">
        <v>1343.33</v>
      </c>
      <c r="E160" s="1">
        <v>17147629568</v>
      </c>
      <c r="F160" s="1">
        <v>-3.47</v>
      </c>
      <c r="G160" s="1">
        <v>-2.27</v>
      </c>
      <c r="H160" s="1">
        <v>-1.17</v>
      </c>
      <c r="I160" s="1">
        <v>-1.19</v>
      </c>
      <c r="J160" s="1">
        <v>31</v>
      </c>
      <c r="K160" s="1"/>
      <c r="L160" s="1">
        <v>0</v>
      </c>
    </row>
    <row r="161" spans="1:12">
      <c r="A161" s="1" t="str">
        <f>"880977"</f>
        <v>880977</v>
      </c>
      <c r="B161" s="1" t="s">
        <v>198</v>
      </c>
      <c r="C161" s="1">
        <v>-3.22</v>
      </c>
      <c r="D161" s="1">
        <v>1256.39</v>
      </c>
      <c r="E161" s="1">
        <v>24158916608</v>
      </c>
      <c r="F161" s="1">
        <v>-2.94</v>
      </c>
      <c r="G161" s="1">
        <v>-1.44</v>
      </c>
      <c r="H161" s="1">
        <v>-0.16</v>
      </c>
      <c r="I161" s="1">
        <v>-1.5</v>
      </c>
      <c r="J161" s="1">
        <v>134</v>
      </c>
      <c r="K161" s="1"/>
      <c r="L161" s="1">
        <v>0</v>
      </c>
    </row>
    <row r="162" spans="1:12">
      <c r="A162" s="1" t="str">
        <f>"880903"</f>
        <v>880903</v>
      </c>
      <c r="B162" s="1" t="s">
        <v>199</v>
      </c>
      <c r="C162" s="1">
        <v>-3.22</v>
      </c>
      <c r="D162" s="1">
        <v>570.2</v>
      </c>
      <c r="E162" s="1">
        <v>3140212992</v>
      </c>
      <c r="F162" s="1">
        <v>-1.68</v>
      </c>
      <c r="G162" s="1">
        <v>0.1</v>
      </c>
      <c r="H162" s="1">
        <v>1.27</v>
      </c>
      <c r="I162" s="1">
        <v>-1.78</v>
      </c>
      <c r="J162" s="1">
        <v>12</v>
      </c>
      <c r="K162" s="1"/>
      <c r="L162" s="1">
        <v>0</v>
      </c>
    </row>
    <row r="163" spans="1:12">
      <c r="A163" s="1" t="str">
        <f>"880669"</f>
        <v>880669</v>
      </c>
      <c r="B163" s="1" t="s">
        <v>200</v>
      </c>
      <c r="C163" s="1">
        <v>-3.23</v>
      </c>
      <c r="D163" s="1">
        <v>1157.35</v>
      </c>
      <c r="E163" s="1">
        <v>83436216320</v>
      </c>
      <c r="F163" s="1">
        <v>-3.7</v>
      </c>
      <c r="G163" s="1">
        <v>-2.64</v>
      </c>
      <c r="H163" s="1">
        <v>-2.08</v>
      </c>
      <c r="I163" s="1">
        <v>-1.06</v>
      </c>
      <c r="J163" s="1">
        <v>215</v>
      </c>
      <c r="K163" s="1"/>
      <c r="L163" s="1">
        <v>0</v>
      </c>
    </row>
    <row r="164" spans="1:12">
      <c r="A164" s="1" t="str">
        <f>"880686"</f>
        <v>880686</v>
      </c>
      <c r="B164" s="1" t="s">
        <v>201</v>
      </c>
      <c r="C164" s="1">
        <v>-3.24</v>
      </c>
      <c r="D164" s="1">
        <v>1362.82</v>
      </c>
      <c r="E164" s="1">
        <v>40474714112</v>
      </c>
      <c r="F164" s="1">
        <v>-4.5</v>
      </c>
      <c r="G164" s="1">
        <v>-3.58</v>
      </c>
      <c r="H164" s="1">
        <v>-2.39</v>
      </c>
      <c r="I164" s="1">
        <v>-0.92</v>
      </c>
      <c r="J164" s="1">
        <v>177</v>
      </c>
      <c r="K164" s="1"/>
      <c r="L164" s="1">
        <v>0</v>
      </c>
    </row>
    <row r="165" spans="1:12">
      <c r="A165" s="1" t="str">
        <f>"880522"</f>
        <v>880522</v>
      </c>
      <c r="B165" s="1" t="s">
        <v>202</v>
      </c>
      <c r="C165" s="1">
        <v>-3.26</v>
      </c>
      <c r="D165" s="1">
        <v>1546.52</v>
      </c>
      <c r="E165" s="3" t="s">
        <v>203</v>
      </c>
      <c r="F165" s="1">
        <v>-3.71</v>
      </c>
      <c r="G165" s="1">
        <v>-2.49</v>
      </c>
      <c r="H165" s="1">
        <v>-1.63</v>
      </c>
      <c r="I165" s="1">
        <v>-1.22</v>
      </c>
      <c r="J165" s="1">
        <v>502</v>
      </c>
      <c r="K165" s="1"/>
      <c r="L165" s="1">
        <v>0</v>
      </c>
    </row>
    <row r="166" spans="1:12">
      <c r="A166" s="1" t="str">
        <f>"880743"</f>
        <v>880743</v>
      </c>
      <c r="B166" s="1" t="s">
        <v>204</v>
      </c>
      <c r="C166" s="1">
        <v>-3.26</v>
      </c>
      <c r="D166" s="1">
        <v>1127.35</v>
      </c>
      <c r="E166" s="1">
        <v>28949305344</v>
      </c>
      <c r="F166" s="1">
        <v>-2.07</v>
      </c>
      <c r="G166" s="1">
        <v>-0.57</v>
      </c>
      <c r="H166" s="1">
        <v>0.94</v>
      </c>
      <c r="I166" s="1">
        <v>-1.5</v>
      </c>
      <c r="J166" s="1">
        <v>190</v>
      </c>
      <c r="K166" s="1"/>
      <c r="L166" s="1">
        <v>0</v>
      </c>
    </row>
    <row r="167" spans="1:12">
      <c r="A167" s="1" t="str">
        <f>"880626"</f>
        <v>880626</v>
      </c>
      <c r="B167" s="1" t="s">
        <v>205</v>
      </c>
      <c r="C167" s="1">
        <v>-3.26</v>
      </c>
      <c r="D167" s="1">
        <v>802.38</v>
      </c>
      <c r="E167" s="1">
        <v>11297694720</v>
      </c>
      <c r="F167" s="1">
        <v>-2.43</v>
      </c>
      <c r="G167" s="1">
        <v>-0.84</v>
      </c>
      <c r="H167" s="1">
        <v>1.68</v>
      </c>
      <c r="I167" s="1">
        <v>-1.58</v>
      </c>
      <c r="J167" s="1">
        <v>48</v>
      </c>
      <c r="K167" s="1"/>
      <c r="L167" s="1">
        <v>0</v>
      </c>
    </row>
    <row r="168" spans="1:12">
      <c r="A168" s="1" t="str">
        <f>"880904"</f>
        <v>880904</v>
      </c>
      <c r="B168" s="1" t="s">
        <v>206</v>
      </c>
      <c r="C168" s="1">
        <v>-3.26</v>
      </c>
      <c r="D168" s="1">
        <v>4464.65</v>
      </c>
      <c r="E168" s="3" t="s">
        <v>207</v>
      </c>
      <c r="F168" s="1">
        <v>-4</v>
      </c>
      <c r="G168" s="1">
        <v>-2.9</v>
      </c>
      <c r="H168" s="1">
        <v>-1.96</v>
      </c>
      <c r="I168" s="1">
        <v>-1.11</v>
      </c>
      <c r="J168" s="1">
        <v>1219</v>
      </c>
      <c r="K168" s="1"/>
      <c r="L168" s="1">
        <v>0</v>
      </c>
    </row>
    <row r="169" spans="1:12">
      <c r="A169" s="1" t="str">
        <f>"880725"</f>
        <v>880725</v>
      </c>
      <c r="B169" s="1" t="s">
        <v>208</v>
      </c>
      <c r="C169" s="1">
        <v>-3.26</v>
      </c>
      <c r="D169" s="1">
        <v>1274.37</v>
      </c>
      <c r="E169" s="1">
        <v>77940473856</v>
      </c>
      <c r="F169" s="1">
        <v>-5.19</v>
      </c>
      <c r="G169" s="1">
        <v>-4.6</v>
      </c>
      <c r="H169" s="1">
        <v>-3.71</v>
      </c>
      <c r="I169" s="1">
        <v>-0.59</v>
      </c>
      <c r="J169" s="1">
        <v>108</v>
      </c>
      <c r="K169" s="1"/>
      <c r="L169" s="1">
        <v>0</v>
      </c>
    </row>
    <row r="170" spans="1:12">
      <c r="A170" s="1" t="str">
        <f>"880519"</f>
        <v>880519</v>
      </c>
      <c r="B170" s="1" t="s">
        <v>209</v>
      </c>
      <c r="C170" s="1">
        <v>-3.26</v>
      </c>
      <c r="D170" s="1">
        <v>1620.65</v>
      </c>
      <c r="E170" s="1">
        <v>62633312256</v>
      </c>
      <c r="F170" s="1">
        <v>-3.27</v>
      </c>
      <c r="G170" s="1">
        <v>-1.74</v>
      </c>
      <c r="H170" s="1">
        <v>-0.64</v>
      </c>
      <c r="I170" s="1">
        <v>-1.54</v>
      </c>
      <c r="J170" s="1">
        <v>272</v>
      </c>
      <c r="K170" s="1"/>
      <c r="L170" s="1">
        <v>0</v>
      </c>
    </row>
    <row r="171" spans="1:12">
      <c r="A171" s="1" t="str">
        <f>"880528"</f>
        <v>880528</v>
      </c>
      <c r="B171" s="1" t="s">
        <v>210</v>
      </c>
      <c r="C171" s="1">
        <v>-3.27</v>
      </c>
      <c r="D171" s="1">
        <v>1302.84</v>
      </c>
      <c r="E171" s="1">
        <v>21259243520</v>
      </c>
      <c r="F171" s="1">
        <v>-3.24</v>
      </c>
      <c r="G171" s="1">
        <v>-1.9</v>
      </c>
      <c r="H171" s="1">
        <v>-1.46</v>
      </c>
      <c r="I171" s="1">
        <v>-1.35</v>
      </c>
      <c r="J171" s="1">
        <v>117</v>
      </c>
      <c r="K171" s="1"/>
      <c r="L171" s="1">
        <v>0</v>
      </c>
    </row>
    <row r="172" spans="1:12">
      <c r="A172" s="1" t="str">
        <f>"880936"</f>
        <v>880936</v>
      </c>
      <c r="B172" s="1" t="s">
        <v>211</v>
      </c>
      <c r="C172" s="1">
        <v>-3.29</v>
      </c>
      <c r="D172" s="1">
        <v>1666.95</v>
      </c>
      <c r="E172" s="1">
        <v>6956069376</v>
      </c>
      <c r="F172" s="1">
        <v>-3.43</v>
      </c>
      <c r="G172" s="1">
        <v>-2.08</v>
      </c>
      <c r="H172" s="1">
        <v>-1.36</v>
      </c>
      <c r="I172" s="1">
        <v>-1.34</v>
      </c>
      <c r="J172" s="1">
        <v>33</v>
      </c>
      <c r="K172" s="1"/>
      <c r="L172" s="1">
        <v>0</v>
      </c>
    </row>
    <row r="173" spans="1:12">
      <c r="A173" s="1" t="str">
        <f>"880965"</f>
        <v>880965</v>
      </c>
      <c r="B173" s="1" t="s">
        <v>212</v>
      </c>
      <c r="C173" s="1">
        <v>-3.29</v>
      </c>
      <c r="D173" s="1">
        <v>2160.1</v>
      </c>
      <c r="E173" s="1">
        <v>54659874816</v>
      </c>
      <c r="F173" s="1">
        <v>-2.81</v>
      </c>
      <c r="G173" s="1">
        <v>-1.78</v>
      </c>
      <c r="H173" s="1">
        <v>-0.98</v>
      </c>
      <c r="I173" s="1">
        <v>-1.03</v>
      </c>
      <c r="J173" s="1">
        <v>93</v>
      </c>
      <c r="K173" s="1"/>
      <c r="L173" s="1">
        <v>0</v>
      </c>
    </row>
    <row r="174" spans="1:12">
      <c r="A174" s="1" t="str">
        <f>"880728"</f>
        <v>880728</v>
      </c>
      <c r="B174" s="1" t="s">
        <v>213</v>
      </c>
      <c r="C174" s="1">
        <v>-3.29</v>
      </c>
      <c r="D174" s="1">
        <v>1570.87</v>
      </c>
      <c r="E174" s="1">
        <v>33803806720</v>
      </c>
      <c r="F174" s="1">
        <v>-1.76</v>
      </c>
      <c r="G174" s="1">
        <v>0.52</v>
      </c>
      <c r="H174" s="1">
        <v>1.22</v>
      </c>
      <c r="I174" s="1">
        <v>-2.28</v>
      </c>
      <c r="J174" s="1">
        <v>89</v>
      </c>
      <c r="K174" s="1"/>
      <c r="L174" s="1">
        <v>0</v>
      </c>
    </row>
    <row r="175" spans="1:12">
      <c r="A175" s="1" t="str">
        <f>"880799"</f>
        <v>880799</v>
      </c>
      <c r="B175" s="1" t="s">
        <v>214</v>
      </c>
      <c r="C175" s="1">
        <v>-3.29</v>
      </c>
      <c r="D175" s="1">
        <v>1725.08</v>
      </c>
      <c r="E175" s="3" t="s">
        <v>215</v>
      </c>
      <c r="F175" s="1">
        <v>-4.17</v>
      </c>
      <c r="G175" s="1">
        <v>-3.18</v>
      </c>
      <c r="H175" s="1">
        <v>-2.34</v>
      </c>
      <c r="I175" s="1">
        <v>-1</v>
      </c>
      <c r="J175" s="1">
        <v>666</v>
      </c>
      <c r="K175" s="1"/>
      <c r="L175" s="1">
        <v>0</v>
      </c>
    </row>
    <row r="176" spans="1:12">
      <c r="A176" s="1" t="str">
        <f>"880902"</f>
        <v>880902</v>
      </c>
      <c r="B176" s="1" t="s">
        <v>216</v>
      </c>
      <c r="C176" s="1">
        <v>-3.3</v>
      </c>
      <c r="D176" s="1">
        <v>4871.76</v>
      </c>
      <c r="E176" s="3" t="s">
        <v>217</v>
      </c>
      <c r="F176" s="1">
        <v>-4.62</v>
      </c>
      <c r="G176" s="1">
        <v>-3.62</v>
      </c>
      <c r="H176" s="1">
        <v>-2.5</v>
      </c>
      <c r="I176" s="1">
        <v>-1</v>
      </c>
      <c r="J176" s="1">
        <v>270</v>
      </c>
      <c r="K176" s="1"/>
      <c r="L176" s="1">
        <v>0</v>
      </c>
    </row>
    <row r="177" spans="1:12">
      <c r="A177" s="1" t="str">
        <f>"880714"</f>
        <v>880714</v>
      </c>
      <c r="B177" s="1" t="s">
        <v>218</v>
      </c>
      <c r="C177" s="1">
        <v>-3.3</v>
      </c>
      <c r="D177" s="1">
        <v>3558.38</v>
      </c>
      <c r="E177" s="1">
        <v>31449706496</v>
      </c>
      <c r="F177" s="1">
        <v>-4.95</v>
      </c>
      <c r="G177" s="1">
        <v>-3.82</v>
      </c>
      <c r="H177" s="1">
        <v>-2.51</v>
      </c>
      <c r="I177" s="1">
        <v>-1.12</v>
      </c>
      <c r="J177" s="1">
        <v>69</v>
      </c>
      <c r="K177" s="1"/>
      <c r="L177" s="1">
        <v>0</v>
      </c>
    </row>
    <row r="178" spans="1:12">
      <c r="A178" s="1" t="str">
        <f>"880520"</f>
        <v>880520</v>
      </c>
      <c r="B178" s="1" t="s">
        <v>219</v>
      </c>
      <c r="C178" s="1">
        <v>-3.31</v>
      </c>
      <c r="D178" s="1">
        <v>2826.23</v>
      </c>
      <c r="E178" s="1">
        <v>87810547712</v>
      </c>
      <c r="F178" s="1">
        <v>-3.75</v>
      </c>
      <c r="G178" s="1">
        <v>-2.47</v>
      </c>
      <c r="H178" s="1">
        <v>-1.34</v>
      </c>
      <c r="I178" s="1">
        <v>-1.28</v>
      </c>
      <c r="J178" s="1">
        <v>279</v>
      </c>
      <c r="K178" s="1"/>
      <c r="L178" s="1">
        <v>0</v>
      </c>
    </row>
    <row r="179" spans="1:12">
      <c r="A179" s="1" t="str">
        <f>"880689"</f>
        <v>880689</v>
      </c>
      <c r="B179" s="1" t="s">
        <v>220</v>
      </c>
      <c r="C179" s="1">
        <v>-3.31</v>
      </c>
      <c r="D179" s="1">
        <v>1164.24</v>
      </c>
      <c r="E179" s="1">
        <v>30901651456</v>
      </c>
      <c r="F179" s="1">
        <v>-3.21</v>
      </c>
      <c r="G179" s="1">
        <v>-1.98</v>
      </c>
      <c r="H179" s="1">
        <v>-1.34</v>
      </c>
      <c r="I179" s="1">
        <v>-1.23</v>
      </c>
      <c r="J179" s="1">
        <v>119</v>
      </c>
      <c r="K179" s="1"/>
      <c r="L179" s="1">
        <v>0</v>
      </c>
    </row>
    <row r="180" spans="1:12">
      <c r="A180" s="1" t="str">
        <f>"880705"</f>
        <v>880705</v>
      </c>
      <c r="B180" s="1" t="s">
        <v>221</v>
      </c>
      <c r="C180" s="1">
        <v>-3.31</v>
      </c>
      <c r="D180" s="1">
        <v>1559.65</v>
      </c>
      <c r="E180" s="3" t="s">
        <v>222</v>
      </c>
      <c r="F180" s="1">
        <v>-3.7</v>
      </c>
      <c r="G180" s="1">
        <v>-2.23</v>
      </c>
      <c r="H180" s="1">
        <v>-1.06</v>
      </c>
      <c r="I180" s="1">
        <v>-1.47</v>
      </c>
      <c r="J180" s="1">
        <v>417</v>
      </c>
      <c r="K180" s="1"/>
      <c r="L180" s="1">
        <v>0</v>
      </c>
    </row>
    <row r="181" spans="1:12">
      <c r="A181" s="1" t="str">
        <f>"880968"</f>
        <v>880968</v>
      </c>
      <c r="B181" s="1" t="s">
        <v>223</v>
      </c>
      <c r="C181" s="1">
        <v>-3.31</v>
      </c>
      <c r="D181" s="1">
        <v>1950.85</v>
      </c>
      <c r="E181" s="1">
        <v>4015412480</v>
      </c>
      <c r="F181" s="1">
        <v>-2.24</v>
      </c>
      <c r="G181" s="1">
        <v>-0.79</v>
      </c>
      <c r="H181" s="1">
        <v>0.55</v>
      </c>
      <c r="I181" s="1">
        <v>-1.45</v>
      </c>
      <c r="J181" s="1">
        <v>29</v>
      </c>
      <c r="K181" s="1"/>
      <c r="L181" s="1">
        <v>0</v>
      </c>
    </row>
    <row r="182" spans="1:12">
      <c r="A182" s="1" t="str">
        <f>"880529"</f>
        <v>880529</v>
      </c>
      <c r="B182" s="1" t="s">
        <v>224</v>
      </c>
      <c r="C182" s="1">
        <v>-3.31</v>
      </c>
      <c r="D182" s="1">
        <v>711.31</v>
      </c>
      <c r="E182" s="1">
        <v>44474343424</v>
      </c>
      <c r="F182" s="1">
        <v>-6.34</v>
      </c>
      <c r="G182" s="1">
        <v>-5.78</v>
      </c>
      <c r="H182" s="1">
        <v>-4.86</v>
      </c>
      <c r="I182" s="1">
        <v>-0.57</v>
      </c>
      <c r="J182" s="1">
        <v>162</v>
      </c>
      <c r="K182" s="1"/>
      <c r="L182" s="1">
        <v>0</v>
      </c>
    </row>
    <row r="183" spans="1:12">
      <c r="A183" s="1" t="str">
        <f>"880587"</f>
        <v>880587</v>
      </c>
      <c r="B183" s="1" t="s">
        <v>225</v>
      </c>
      <c r="C183" s="1">
        <v>-3.31</v>
      </c>
      <c r="D183" s="1">
        <v>5180.32</v>
      </c>
      <c r="E183" s="1">
        <v>10624305152</v>
      </c>
      <c r="F183" s="1">
        <v>-3.01</v>
      </c>
      <c r="G183" s="1">
        <v>-1.48</v>
      </c>
      <c r="H183" s="1">
        <v>0.04</v>
      </c>
      <c r="I183" s="1">
        <v>-1.54</v>
      </c>
      <c r="J183" s="1">
        <v>37</v>
      </c>
      <c r="K183" s="1"/>
      <c r="L183" s="1">
        <v>0</v>
      </c>
    </row>
    <row r="184" spans="1:12">
      <c r="A184" s="1" t="str">
        <f>"880582"</f>
        <v>880582</v>
      </c>
      <c r="B184" s="1" t="s">
        <v>226</v>
      </c>
      <c r="C184" s="1">
        <v>-3.31</v>
      </c>
      <c r="D184" s="1">
        <v>2807.41</v>
      </c>
      <c r="E184" s="3" t="s">
        <v>227</v>
      </c>
      <c r="F184" s="1">
        <v>-3.59</v>
      </c>
      <c r="G184" s="1">
        <v>-2.12</v>
      </c>
      <c r="H184" s="1">
        <v>-0.98</v>
      </c>
      <c r="I184" s="1">
        <v>-1.47</v>
      </c>
      <c r="J184" s="1">
        <v>445</v>
      </c>
      <c r="K184" s="1"/>
      <c r="L184" s="1">
        <v>0</v>
      </c>
    </row>
    <row r="185" spans="1:12">
      <c r="A185" s="1" t="str">
        <f>"880521"</f>
        <v>880521</v>
      </c>
      <c r="B185" s="1" t="s">
        <v>228</v>
      </c>
      <c r="C185" s="1">
        <v>-3.32</v>
      </c>
      <c r="D185" s="1">
        <v>1532.42</v>
      </c>
      <c r="E185" s="1">
        <v>42107215872</v>
      </c>
      <c r="F185" s="1">
        <v>-4.26</v>
      </c>
      <c r="G185" s="1">
        <v>-2.97</v>
      </c>
      <c r="H185" s="1">
        <v>-1.77</v>
      </c>
      <c r="I185" s="1">
        <v>-1.29</v>
      </c>
      <c r="J185" s="1">
        <v>83</v>
      </c>
      <c r="K185" s="1"/>
      <c r="L185" s="1">
        <v>0</v>
      </c>
    </row>
    <row r="186" spans="1:12">
      <c r="A186" s="1" t="str">
        <f>"880611"</f>
        <v>880611</v>
      </c>
      <c r="B186" s="1" t="s">
        <v>229</v>
      </c>
      <c r="C186" s="1">
        <v>-3.33</v>
      </c>
      <c r="D186" s="1">
        <v>1288.88</v>
      </c>
      <c r="E186" s="1">
        <v>13515649024</v>
      </c>
      <c r="F186" s="1">
        <v>-2.88</v>
      </c>
      <c r="G186" s="1">
        <v>-1.33</v>
      </c>
      <c r="H186" s="1">
        <v>-0.43</v>
      </c>
      <c r="I186" s="1">
        <v>-1.55</v>
      </c>
      <c r="J186" s="1">
        <v>64</v>
      </c>
      <c r="K186" s="1"/>
      <c r="L186" s="1">
        <v>0</v>
      </c>
    </row>
    <row r="187" spans="1:12">
      <c r="A187" s="1" t="str">
        <f>"880951"</f>
        <v>880951</v>
      </c>
      <c r="B187" s="1" t="s">
        <v>230</v>
      </c>
      <c r="C187" s="1">
        <v>-3.33</v>
      </c>
      <c r="D187" s="1">
        <v>1707.82</v>
      </c>
      <c r="E187" s="3" t="s">
        <v>231</v>
      </c>
      <c r="F187" s="1">
        <v>-4.44</v>
      </c>
      <c r="G187" s="1">
        <v>-3.4</v>
      </c>
      <c r="H187" s="1">
        <v>-2.31</v>
      </c>
      <c r="I187" s="1">
        <v>-1.04</v>
      </c>
      <c r="J187" s="1">
        <v>1089</v>
      </c>
      <c r="K187" s="1"/>
      <c r="L187" s="1">
        <v>0</v>
      </c>
    </row>
    <row r="188" spans="1:12">
      <c r="A188" s="1" t="str">
        <f>"880561"</f>
        <v>880561</v>
      </c>
      <c r="B188" s="1" t="s">
        <v>232</v>
      </c>
      <c r="C188" s="1">
        <v>-3.33</v>
      </c>
      <c r="D188" s="1">
        <v>2168.94</v>
      </c>
      <c r="E188" s="1">
        <v>57601822720</v>
      </c>
      <c r="F188" s="1">
        <v>-5.49</v>
      </c>
      <c r="G188" s="1">
        <v>-4.92</v>
      </c>
      <c r="H188" s="1">
        <v>-4.2</v>
      </c>
      <c r="I188" s="1">
        <v>-0.56</v>
      </c>
      <c r="J188" s="1">
        <v>119</v>
      </c>
      <c r="K188" s="1"/>
      <c r="L188" s="1">
        <v>0</v>
      </c>
    </row>
    <row r="189" spans="1:12">
      <c r="A189" s="1" t="str">
        <f>"880560"</f>
        <v>880560</v>
      </c>
      <c r="B189" s="1" t="s">
        <v>233</v>
      </c>
      <c r="C189" s="1">
        <v>-3.34</v>
      </c>
      <c r="D189" s="1">
        <v>2300.39</v>
      </c>
      <c r="E189" s="3" t="s">
        <v>234</v>
      </c>
      <c r="F189" s="1">
        <v>-3.97</v>
      </c>
      <c r="G189" s="1">
        <v>-2.73</v>
      </c>
      <c r="H189" s="1">
        <v>-1.64</v>
      </c>
      <c r="I189" s="1">
        <v>-1.25</v>
      </c>
      <c r="J189" s="1">
        <v>397</v>
      </c>
      <c r="K189" s="1"/>
      <c r="L189" s="1">
        <v>0</v>
      </c>
    </row>
    <row r="190" spans="1:12">
      <c r="A190" s="1" t="str">
        <f>"880547"</f>
        <v>880547</v>
      </c>
      <c r="B190" s="1" t="s">
        <v>235</v>
      </c>
      <c r="C190" s="1">
        <v>-3.34</v>
      </c>
      <c r="D190" s="1">
        <v>1965.73</v>
      </c>
      <c r="E190" s="1">
        <v>46413938688</v>
      </c>
      <c r="F190" s="1">
        <v>-6.46</v>
      </c>
      <c r="G190" s="1">
        <v>-6.06</v>
      </c>
      <c r="H190" s="1">
        <v>-5.21</v>
      </c>
      <c r="I190" s="1">
        <v>-0.4</v>
      </c>
      <c r="J190" s="1">
        <v>63</v>
      </c>
      <c r="K190" s="1"/>
      <c r="L190" s="1">
        <v>0</v>
      </c>
    </row>
    <row r="191" spans="1:12">
      <c r="A191" s="1" t="str">
        <f>"880607"</f>
        <v>880607</v>
      </c>
      <c r="B191" s="1" t="s">
        <v>236</v>
      </c>
      <c r="C191" s="1">
        <v>-3.35</v>
      </c>
      <c r="D191" s="1">
        <v>1546.13</v>
      </c>
      <c r="E191" s="3" t="s">
        <v>237</v>
      </c>
      <c r="F191" s="1">
        <v>-4.06</v>
      </c>
      <c r="G191" s="1">
        <v>-3.04</v>
      </c>
      <c r="H191" s="1">
        <v>-2.44</v>
      </c>
      <c r="I191" s="1">
        <v>-1.02</v>
      </c>
      <c r="J191" s="1">
        <v>412</v>
      </c>
      <c r="K191" s="1"/>
      <c r="L191" s="1">
        <v>0</v>
      </c>
    </row>
    <row r="192" spans="1:12">
      <c r="A192" s="1" t="str">
        <f>"880731"</f>
        <v>880731</v>
      </c>
      <c r="B192" s="1" t="s">
        <v>238</v>
      </c>
      <c r="C192" s="1">
        <v>-3.35</v>
      </c>
      <c r="D192" s="1">
        <v>1507.57</v>
      </c>
      <c r="E192" s="3" t="s">
        <v>239</v>
      </c>
      <c r="F192" s="1">
        <v>-4.31</v>
      </c>
      <c r="G192" s="1">
        <v>-3.14</v>
      </c>
      <c r="H192" s="1">
        <v>-1.98</v>
      </c>
      <c r="I192" s="1">
        <v>-1.17</v>
      </c>
      <c r="J192" s="1">
        <v>395</v>
      </c>
      <c r="K192" s="1"/>
      <c r="L192" s="1">
        <v>0</v>
      </c>
    </row>
    <row r="193" spans="1:12">
      <c r="A193" s="1" t="str">
        <f>"880544"</f>
        <v>880544</v>
      </c>
      <c r="B193" s="1" t="s">
        <v>240</v>
      </c>
      <c r="C193" s="1">
        <v>-3.35</v>
      </c>
      <c r="D193" s="1">
        <v>3232.98</v>
      </c>
      <c r="E193" s="3" t="s">
        <v>241</v>
      </c>
      <c r="F193" s="1">
        <v>-4.43</v>
      </c>
      <c r="G193" s="1">
        <v>-3.26</v>
      </c>
      <c r="H193" s="1">
        <v>-2.16</v>
      </c>
      <c r="I193" s="1">
        <v>-1.17</v>
      </c>
      <c r="J193" s="1">
        <v>521</v>
      </c>
      <c r="K193" s="1"/>
      <c r="L193" s="1">
        <v>0</v>
      </c>
    </row>
    <row r="194" spans="1:12">
      <c r="A194" s="1" t="str">
        <f>"880577"</f>
        <v>880577</v>
      </c>
      <c r="B194" s="1" t="s">
        <v>242</v>
      </c>
      <c r="C194" s="1">
        <v>-3.36</v>
      </c>
      <c r="D194" s="1">
        <v>4778.99</v>
      </c>
      <c r="E194" s="1">
        <v>33486178304</v>
      </c>
      <c r="F194" s="1">
        <v>-3.52</v>
      </c>
      <c r="G194" s="1">
        <v>-2.45</v>
      </c>
      <c r="H194" s="1">
        <v>-1.51</v>
      </c>
      <c r="I194" s="1">
        <v>-1.07</v>
      </c>
      <c r="J194" s="1">
        <v>142</v>
      </c>
      <c r="K194" s="1"/>
      <c r="L194" s="1">
        <v>0</v>
      </c>
    </row>
    <row r="195" spans="1:12">
      <c r="A195" s="1" t="str">
        <f>"880537"</f>
        <v>880537</v>
      </c>
      <c r="B195" s="1" t="s">
        <v>243</v>
      </c>
      <c r="C195" s="1">
        <v>-3.36</v>
      </c>
      <c r="D195" s="1">
        <v>1634.85</v>
      </c>
      <c r="E195" s="1">
        <v>96652451840</v>
      </c>
      <c r="F195" s="1">
        <v>-3.89</v>
      </c>
      <c r="G195" s="1">
        <v>-2.47</v>
      </c>
      <c r="H195" s="1">
        <v>-1.57</v>
      </c>
      <c r="I195" s="1">
        <v>-1.43</v>
      </c>
      <c r="J195" s="1">
        <v>338</v>
      </c>
      <c r="K195" s="1"/>
      <c r="L195" s="1">
        <v>0</v>
      </c>
    </row>
    <row r="196" spans="1:12">
      <c r="A196" s="1" t="str">
        <f>"880660"</f>
        <v>880660</v>
      </c>
      <c r="B196" s="1" t="s">
        <v>244</v>
      </c>
      <c r="C196" s="1">
        <v>-3.36</v>
      </c>
      <c r="D196" s="1">
        <v>1195.8</v>
      </c>
      <c r="E196" s="1">
        <v>8948670464</v>
      </c>
      <c r="F196" s="1">
        <v>-3.11</v>
      </c>
      <c r="G196" s="1">
        <v>-1.98</v>
      </c>
      <c r="H196" s="1">
        <v>-1.48</v>
      </c>
      <c r="I196" s="1">
        <v>-1.13</v>
      </c>
      <c r="J196" s="1">
        <v>35</v>
      </c>
      <c r="K196" s="1"/>
      <c r="L196" s="1">
        <v>0</v>
      </c>
    </row>
    <row r="197" spans="1:12">
      <c r="A197" s="1" t="str">
        <f>"880662"</f>
        <v>880662</v>
      </c>
      <c r="B197" s="1" t="s">
        <v>245</v>
      </c>
      <c r="C197" s="1">
        <v>-3.36</v>
      </c>
      <c r="D197" s="1">
        <v>1159.59</v>
      </c>
      <c r="E197" s="1">
        <v>8274774016</v>
      </c>
      <c r="F197" s="1">
        <v>-2.65</v>
      </c>
      <c r="G197" s="1">
        <v>-1.17</v>
      </c>
      <c r="H197" s="1">
        <v>-0.43</v>
      </c>
      <c r="I197" s="1">
        <v>-1.48</v>
      </c>
      <c r="J197" s="1">
        <v>53</v>
      </c>
      <c r="K197" s="1"/>
      <c r="L197" s="1">
        <v>0</v>
      </c>
    </row>
    <row r="198" spans="1:12">
      <c r="A198" s="1" t="str">
        <f>"880966"</f>
        <v>880966</v>
      </c>
      <c r="B198" s="1" t="s">
        <v>246</v>
      </c>
      <c r="C198" s="1">
        <v>-3.36</v>
      </c>
      <c r="D198" s="1">
        <v>2230.52</v>
      </c>
      <c r="E198" s="3" t="s">
        <v>247</v>
      </c>
      <c r="F198" s="1">
        <v>-5.06</v>
      </c>
      <c r="G198" s="1">
        <v>-4.34</v>
      </c>
      <c r="H198" s="1">
        <v>-3.6</v>
      </c>
      <c r="I198" s="1">
        <v>-0.73</v>
      </c>
      <c r="J198" s="1">
        <v>521</v>
      </c>
      <c r="K198" s="1"/>
      <c r="L198" s="1">
        <v>0</v>
      </c>
    </row>
    <row r="199" spans="1:12">
      <c r="A199" s="1" t="str">
        <f>"880716"</f>
        <v>880716</v>
      </c>
      <c r="B199" s="1" t="s">
        <v>248</v>
      </c>
      <c r="C199" s="1">
        <v>-3.37</v>
      </c>
      <c r="D199" s="1">
        <v>3442.59</v>
      </c>
      <c r="E199" s="1">
        <v>50713677824</v>
      </c>
      <c r="F199" s="1">
        <v>-6.12</v>
      </c>
      <c r="G199" s="1">
        <v>-5.59</v>
      </c>
      <c r="H199" s="1">
        <v>-4.71</v>
      </c>
      <c r="I199" s="1">
        <v>-0.53</v>
      </c>
      <c r="J199" s="1">
        <v>129</v>
      </c>
      <c r="K199" s="1"/>
      <c r="L199" s="1">
        <v>0</v>
      </c>
    </row>
    <row r="200" spans="1:12">
      <c r="A200" s="1" t="str">
        <f>"880639"</f>
        <v>880639</v>
      </c>
      <c r="B200" s="1" t="s">
        <v>249</v>
      </c>
      <c r="C200" s="1">
        <v>-3.37</v>
      </c>
      <c r="D200" s="1">
        <v>912.66</v>
      </c>
      <c r="E200" s="1">
        <v>6954355200</v>
      </c>
      <c r="F200" s="1">
        <v>-2.93</v>
      </c>
      <c r="G200" s="1">
        <v>-1.25</v>
      </c>
      <c r="H200" s="1">
        <v>0.18</v>
      </c>
      <c r="I200" s="1">
        <v>-1.68</v>
      </c>
      <c r="J200" s="1">
        <v>43</v>
      </c>
      <c r="K200" s="1"/>
      <c r="L200" s="1">
        <v>0</v>
      </c>
    </row>
    <row r="201" spans="1:12">
      <c r="A201" s="1" t="str">
        <f>"880797"</f>
        <v>880797</v>
      </c>
      <c r="B201" s="1" t="s">
        <v>250</v>
      </c>
      <c r="C201" s="1">
        <v>-3.39</v>
      </c>
      <c r="D201" s="1">
        <v>1264.13</v>
      </c>
      <c r="E201" s="1">
        <v>3677968384</v>
      </c>
      <c r="F201" s="1">
        <v>-2.77</v>
      </c>
      <c r="G201" s="1">
        <v>-1.27</v>
      </c>
      <c r="H201" s="1">
        <v>1.28</v>
      </c>
      <c r="I201" s="1">
        <v>-1.5</v>
      </c>
      <c r="J201" s="1">
        <v>34</v>
      </c>
      <c r="K201" s="1"/>
      <c r="L201" s="1">
        <v>0</v>
      </c>
    </row>
    <row r="202" spans="1:12">
      <c r="A202" s="1" t="str">
        <f>"880614"</f>
        <v>880614</v>
      </c>
      <c r="B202" s="1" t="s">
        <v>251</v>
      </c>
      <c r="C202" s="1">
        <v>-3.39</v>
      </c>
      <c r="D202" s="1">
        <v>1148.78</v>
      </c>
      <c r="E202" s="1">
        <v>12934128640</v>
      </c>
      <c r="F202" s="1">
        <v>-2.05</v>
      </c>
      <c r="G202" s="1">
        <v>-0.38</v>
      </c>
      <c r="H202" s="1">
        <v>0.91</v>
      </c>
      <c r="I202" s="1">
        <v>-1.67</v>
      </c>
      <c r="J202" s="1">
        <v>73</v>
      </c>
      <c r="K202" s="1"/>
      <c r="L202" s="1">
        <v>0</v>
      </c>
    </row>
    <row r="203" spans="1:12">
      <c r="A203" s="1" t="str">
        <f>"880697"</f>
        <v>880697</v>
      </c>
      <c r="B203" s="1" t="s">
        <v>252</v>
      </c>
      <c r="C203" s="1">
        <v>-3.39</v>
      </c>
      <c r="D203" s="1">
        <v>1473.98</v>
      </c>
      <c r="E203" s="1">
        <v>35269009408</v>
      </c>
      <c r="F203" s="1">
        <v>-4.45</v>
      </c>
      <c r="G203" s="1">
        <v>-3.34</v>
      </c>
      <c r="H203" s="1">
        <v>-2.32</v>
      </c>
      <c r="I203" s="1">
        <v>-1.11</v>
      </c>
      <c r="J203" s="1">
        <v>136</v>
      </c>
      <c r="K203" s="1"/>
      <c r="L203" s="1">
        <v>0</v>
      </c>
    </row>
    <row r="204" spans="1:12">
      <c r="A204" s="1" t="str">
        <f>"880627"</f>
        <v>880627</v>
      </c>
      <c r="B204" s="1" t="s">
        <v>253</v>
      </c>
      <c r="C204" s="1">
        <v>-3.4</v>
      </c>
      <c r="D204" s="1">
        <v>1416.92</v>
      </c>
      <c r="E204" s="1">
        <v>19878770688</v>
      </c>
      <c r="F204" s="1">
        <v>-2.76</v>
      </c>
      <c r="G204" s="1">
        <v>-0.57</v>
      </c>
      <c r="H204" s="1">
        <v>0.08</v>
      </c>
      <c r="I204" s="1">
        <v>-2.19</v>
      </c>
      <c r="J204" s="1">
        <v>87</v>
      </c>
      <c r="K204" s="1"/>
      <c r="L204" s="1">
        <v>0</v>
      </c>
    </row>
    <row r="205" spans="1:12">
      <c r="A205" s="1" t="str">
        <f>"880658"</f>
        <v>880658</v>
      </c>
      <c r="B205" s="1" t="s">
        <v>254</v>
      </c>
      <c r="C205" s="1">
        <v>-3.4</v>
      </c>
      <c r="D205" s="1">
        <v>1368.23</v>
      </c>
      <c r="E205" s="1">
        <v>41878548480</v>
      </c>
      <c r="F205" s="1">
        <v>-4.66</v>
      </c>
      <c r="G205" s="1">
        <v>-3.7</v>
      </c>
      <c r="H205" s="1">
        <v>-2.71</v>
      </c>
      <c r="I205" s="1">
        <v>-0.96</v>
      </c>
      <c r="J205" s="1">
        <v>115</v>
      </c>
      <c r="K205" s="1"/>
      <c r="L205" s="1">
        <v>0</v>
      </c>
    </row>
    <row r="206" spans="1:12">
      <c r="A206" s="1" t="str">
        <f>"880738"</f>
        <v>880738</v>
      </c>
      <c r="B206" s="1" t="s">
        <v>255</v>
      </c>
      <c r="C206" s="1">
        <v>-3.42</v>
      </c>
      <c r="D206" s="1">
        <v>1566.15</v>
      </c>
      <c r="E206" s="1">
        <v>55794651136</v>
      </c>
      <c r="F206" s="1">
        <v>-2.75</v>
      </c>
      <c r="G206" s="1">
        <v>-1.27</v>
      </c>
      <c r="H206" s="1">
        <v>-0.29</v>
      </c>
      <c r="I206" s="1">
        <v>-1.48</v>
      </c>
      <c r="J206" s="1">
        <v>218</v>
      </c>
      <c r="K206" s="1"/>
      <c r="L206" s="1">
        <v>0</v>
      </c>
    </row>
    <row r="207" spans="1:12">
      <c r="A207" s="1" t="str">
        <f>"880682"</f>
        <v>880682</v>
      </c>
      <c r="B207" s="1" t="s">
        <v>256</v>
      </c>
      <c r="C207" s="1">
        <v>-3.42</v>
      </c>
      <c r="D207" s="1">
        <v>1591.43</v>
      </c>
      <c r="E207" s="1">
        <v>37179621376</v>
      </c>
      <c r="F207" s="1">
        <v>-5.07</v>
      </c>
      <c r="G207" s="1">
        <v>-4.4</v>
      </c>
      <c r="H207" s="1">
        <v>-4.07</v>
      </c>
      <c r="I207" s="1">
        <v>-0.68</v>
      </c>
      <c r="J207" s="1">
        <v>63</v>
      </c>
      <c r="K207" s="1"/>
      <c r="L207" s="1">
        <v>0</v>
      </c>
    </row>
    <row r="208" spans="1:12">
      <c r="A208" s="1" t="str">
        <f>"880971"</f>
        <v>880971</v>
      </c>
      <c r="B208" s="1" t="s">
        <v>257</v>
      </c>
      <c r="C208" s="1">
        <v>-3.42</v>
      </c>
      <c r="D208" s="1">
        <v>1121.81</v>
      </c>
      <c r="E208" s="1">
        <v>16947180544</v>
      </c>
      <c r="F208" s="1">
        <v>-3.79</v>
      </c>
      <c r="G208" s="1">
        <v>-2.32</v>
      </c>
      <c r="H208" s="1">
        <v>-0.81</v>
      </c>
      <c r="I208" s="1">
        <v>-1.47</v>
      </c>
      <c r="J208" s="1">
        <v>88</v>
      </c>
      <c r="K208" s="1"/>
      <c r="L208" s="1">
        <v>0</v>
      </c>
    </row>
    <row r="209" spans="1:12">
      <c r="A209" s="1" t="str">
        <f>"880575"</f>
        <v>880575</v>
      </c>
      <c r="B209" s="1" t="s">
        <v>258</v>
      </c>
      <c r="C209" s="1">
        <v>-3.42</v>
      </c>
      <c r="D209" s="1">
        <v>2461.58</v>
      </c>
      <c r="E209" s="1">
        <v>5872873472</v>
      </c>
      <c r="F209" s="1">
        <v>-3.77</v>
      </c>
      <c r="G209" s="1">
        <v>-2.4</v>
      </c>
      <c r="H209" s="1">
        <v>-1.61</v>
      </c>
      <c r="I209" s="1">
        <v>-1.37</v>
      </c>
      <c r="J209" s="1">
        <v>20</v>
      </c>
      <c r="K209" s="1"/>
      <c r="L209" s="1">
        <v>0</v>
      </c>
    </row>
    <row r="210" spans="1:12">
      <c r="A210" s="1" t="str">
        <f>"880688"</f>
        <v>880688</v>
      </c>
      <c r="B210" s="1" t="s">
        <v>259</v>
      </c>
      <c r="C210" s="1">
        <v>-3.42</v>
      </c>
      <c r="D210" s="1">
        <v>1400.16</v>
      </c>
      <c r="E210" s="1">
        <v>70914383872</v>
      </c>
      <c r="F210" s="1">
        <v>-4.32</v>
      </c>
      <c r="G210" s="1">
        <v>-3.22</v>
      </c>
      <c r="H210" s="1">
        <v>-2.19</v>
      </c>
      <c r="I210" s="1">
        <v>-1.1</v>
      </c>
      <c r="J210" s="1">
        <v>291</v>
      </c>
      <c r="K210" s="1"/>
      <c r="L210" s="1">
        <v>0</v>
      </c>
    </row>
    <row r="211" spans="1:12">
      <c r="A211" s="1" t="str">
        <f>"880923"</f>
        <v>880923</v>
      </c>
      <c r="B211" s="1" t="s">
        <v>260</v>
      </c>
      <c r="C211" s="1">
        <v>-3.44</v>
      </c>
      <c r="D211" s="1">
        <v>959.15</v>
      </c>
      <c r="E211" s="1">
        <v>4261342976</v>
      </c>
      <c r="F211" s="1">
        <v>-1.38</v>
      </c>
      <c r="G211" s="1">
        <v>0.37</v>
      </c>
      <c r="H211" s="1">
        <v>1.69</v>
      </c>
      <c r="I211" s="1">
        <v>-1.75</v>
      </c>
      <c r="J211" s="1">
        <v>18</v>
      </c>
      <c r="K211" s="1"/>
      <c r="L211" s="1">
        <v>0</v>
      </c>
    </row>
    <row r="212" spans="1:12">
      <c r="A212" s="1" t="str">
        <f>"880739"</f>
        <v>880739</v>
      </c>
      <c r="B212" s="1" t="s">
        <v>261</v>
      </c>
      <c r="C212" s="1">
        <v>-3.44</v>
      </c>
      <c r="D212" s="1">
        <v>1485.44</v>
      </c>
      <c r="E212" s="1">
        <v>51066802176</v>
      </c>
      <c r="F212" s="1">
        <v>-3.79</v>
      </c>
      <c r="G212" s="1">
        <v>-2.68</v>
      </c>
      <c r="H212" s="1">
        <v>-1.91</v>
      </c>
      <c r="I212" s="1">
        <v>-1.11</v>
      </c>
      <c r="J212" s="1">
        <v>154</v>
      </c>
      <c r="K212" s="1"/>
      <c r="L212" s="1">
        <v>0</v>
      </c>
    </row>
    <row r="213" spans="1:12">
      <c r="A213" s="1" t="str">
        <f>"880586"</f>
        <v>880586</v>
      </c>
      <c r="B213" s="1" t="s">
        <v>262</v>
      </c>
      <c r="C213" s="1">
        <v>-3.44</v>
      </c>
      <c r="D213" s="1">
        <v>1178.54</v>
      </c>
      <c r="E213" s="1">
        <v>7619059200</v>
      </c>
      <c r="F213" s="1">
        <v>-3.03</v>
      </c>
      <c r="G213" s="1">
        <v>-1.42</v>
      </c>
      <c r="H213" s="1">
        <v>0.73</v>
      </c>
      <c r="I213" s="1">
        <v>-1.61</v>
      </c>
      <c r="J213" s="1">
        <v>37</v>
      </c>
      <c r="K213" s="1"/>
      <c r="L213" s="1">
        <v>0</v>
      </c>
    </row>
    <row r="214" spans="1:12">
      <c r="A214" s="1" t="str">
        <f>"880535"</f>
        <v>880535</v>
      </c>
      <c r="B214" s="1" t="s">
        <v>263</v>
      </c>
      <c r="C214" s="1">
        <v>-3.45</v>
      </c>
      <c r="D214" s="1">
        <v>1100.27</v>
      </c>
      <c r="E214" s="1">
        <v>30539732992</v>
      </c>
      <c r="F214" s="1">
        <v>-4.65</v>
      </c>
      <c r="G214" s="1">
        <v>-3.59</v>
      </c>
      <c r="H214" s="1">
        <v>-2.45</v>
      </c>
      <c r="I214" s="1">
        <v>-1.06</v>
      </c>
      <c r="J214" s="1">
        <v>83</v>
      </c>
      <c r="K214" s="1"/>
      <c r="L214" s="1">
        <v>0</v>
      </c>
    </row>
    <row r="215" spans="1:12">
      <c r="A215" s="1" t="str">
        <f>"880655"</f>
        <v>880655</v>
      </c>
      <c r="B215" s="1" t="s">
        <v>264</v>
      </c>
      <c r="C215" s="1">
        <v>-3.45</v>
      </c>
      <c r="D215" s="1">
        <v>878.49</v>
      </c>
      <c r="E215" s="1">
        <v>37173923840</v>
      </c>
      <c r="F215" s="1">
        <v>-5.11</v>
      </c>
      <c r="G215" s="1">
        <v>-4.14</v>
      </c>
      <c r="H215" s="1">
        <v>-2.92</v>
      </c>
      <c r="I215" s="1">
        <v>-0.97</v>
      </c>
      <c r="J215" s="1">
        <v>94</v>
      </c>
      <c r="K215" s="1"/>
      <c r="L215" s="1">
        <v>0</v>
      </c>
    </row>
    <row r="216" spans="1:12">
      <c r="A216" s="1" t="str">
        <f>"880507"</f>
        <v>880507</v>
      </c>
      <c r="B216" s="1" t="s">
        <v>265</v>
      </c>
      <c r="C216" s="1">
        <v>-3.45</v>
      </c>
      <c r="D216" s="1">
        <v>1833.92</v>
      </c>
      <c r="E216" s="3" t="s">
        <v>266</v>
      </c>
      <c r="F216" s="1">
        <v>-4.31</v>
      </c>
      <c r="G216" s="1">
        <v>-3.1</v>
      </c>
      <c r="H216" s="1">
        <v>-2.42</v>
      </c>
      <c r="I216" s="1">
        <v>-1.2</v>
      </c>
      <c r="J216" s="1">
        <v>537</v>
      </c>
      <c r="K216" s="1"/>
      <c r="L216" s="1">
        <v>0</v>
      </c>
    </row>
    <row r="217" spans="1:12">
      <c r="A217" s="1" t="str">
        <f>"880649"</f>
        <v>880649</v>
      </c>
      <c r="B217" s="1" t="s">
        <v>267</v>
      </c>
      <c r="C217" s="1">
        <v>-3.46</v>
      </c>
      <c r="D217" s="1">
        <v>838.95</v>
      </c>
      <c r="E217" s="1">
        <v>7785812992</v>
      </c>
      <c r="F217" s="1">
        <v>-3.42</v>
      </c>
      <c r="G217" s="1">
        <v>-1.8</v>
      </c>
      <c r="H217" s="1">
        <v>-0.61</v>
      </c>
      <c r="I217" s="1">
        <v>-1.62</v>
      </c>
      <c r="J217" s="1">
        <v>29</v>
      </c>
      <c r="K217" s="1"/>
      <c r="L217" s="1">
        <v>0</v>
      </c>
    </row>
    <row r="218" spans="1:12">
      <c r="A218" s="1" t="str">
        <f>"880546"</f>
        <v>880546</v>
      </c>
      <c r="B218" s="1" t="s">
        <v>268</v>
      </c>
      <c r="C218" s="1">
        <v>-3.46</v>
      </c>
      <c r="D218" s="1">
        <v>2978.7</v>
      </c>
      <c r="E218" s="1">
        <v>98853986304</v>
      </c>
      <c r="F218" s="1">
        <v>-4.34</v>
      </c>
      <c r="G218" s="1">
        <v>-3.26</v>
      </c>
      <c r="H218" s="1">
        <v>-2.83</v>
      </c>
      <c r="I218" s="1">
        <v>-1.08</v>
      </c>
      <c r="J218" s="1">
        <v>283</v>
      </c>
      <c r="K218" s="1"/>
      <c r="L218" s="1">
        <v>0</v>
      </c>
    </row>
    <row r="219" spans="1:12">
      <c r="A219" s="1" t="str">
        <f>"880666"</f>
        <v>880666</v>
      </c>
      <c r="B219" s="1" t="s">
        <v>269</v>
      </c>
      <c r="C219" s="1">
        <v>-3.46</v>
      </c>
      <c r="D219" s="1">
        <v>1895.45</v>
      </c>
      <c r="E219" s="1">
        <v>47084621824</v>
      </c>
      <c r="F219" s="1">
        <v>-4.72</v>
      </c>
      <c r="G219" s="1">
        <v>-3.5</v>
      </c>
      <c r="H219" s="1">
        <v>-2.66</v>
      </c>
      <c r="I219" s="1">
        <v>-1.22</v>
      </c>
      <c r="J219" s="1">
        <v>119</v>
      </c>
      <c r="K219" s="1"/>
      <c r="L219" s="1">
        <v>0</v>
      </c>
    </row>
    <row r="220" spans="1:12">
      <c r="A220" s="1" t="str">
        <f>"880566"</f>
        <v>880566</v>
      </c>
      <c r="B220" s="1" t="s">
        <v>270</v>
      </c>
      <c r="C220" s="1">
        <v>-3.47</v>
      </c>
      <c r="D220" s="1">
        <v>2062.33</v>
      </c>
      <c r="E220" s="1">
        <v>99752230912</v>
      </c>
      <c r="F220" s="1">
        <v>-5.33</v>
      </c>
      <c r="G220" s="1">
        <v>-4.68</v>
      </c>
      <c r="H220" s="1">
        <v>-4.04</v>
      </c>
      <c r="I220" s="1">
        <v>-0.64</v>
      </c>
      <c r="J220" s="1">
        <v>196</v>
      </c>
      <c r="K220" s="1"/>
      <c r="L220" s="1">
        <v>0</v>
      </c>
    </row>
    <row r="221" spans="1:12">
      <c r="A221" s="1" t="str">
        <f>"880912"</f>
        <v>880912</v>
      </c>
      <c r="B221" s="1" t="s">
        <v>271</v>
      </c>
      <c r="C221" s="1">
        <v>-3.47</v>
      </c>
      <c r="D221" s="1">
        <v>974.47</v>
      </c>
      <c r="E221" s="1">
        <v>4861425664</v>
      </c>
      <c r="F221" s="1">
        <v>-4.79</v>
      </c>
      <c r="G221" s="1">
        <v>-3.68</v>
      </c>
      <c r="H221" s="1">
        <v>-2.67</v>
      </c>
      <c r="I221" s="1">
        <v>-1.11</v>
      </c>
      <c r="J221" s="1">
        <v>28</v>
      </c>
      <c r="K221" s="1"/>
      <c r="L221" s="1">
        <v>0</v>
      </c>
    </row>
    <row r="222" spans="1:12">
      <c r="A222" s="1" t="str">
        <f>"880589"</f>
        <v>880589</v>
      </c>
      <c r="B222" s="1" t="s">
        <v>272</v>
      </c>
      <c r="C222" s="1">
        <v>-3.49</v>
      </c>
      <c r="D222" s="1">
        <v>2722.98</v>
      </c>
      <c r="E222" s="3" t="s">
        <v>273</v>
      </c>
      <c r="F222" s="1">
        <v>-4.92</v>
      </c>
      <c r="G222" s="1">
        <v>-4.16</v>
      </c>
      <c r="H222" s="1">
        <v>-3.51</v>
      </c>
      <c r="I222" s="1">
        <v>-0.76</v>
      </c>
      <c r="J222" s="1">
        <v>259</v>
      </c>
      <c r="K222" s="1"/>
      <c r="L222" s="1">
        <v>0</v>
      </c>
    </row>
    <row r="223" spans="1:12">
      <c r="A223" s="1" t="str">
        <f>"880571"</f>
        <v>880571</v>
      </c>
      <c r="B223" s="1" t="s">
        <v>274</v>
      </c>
      <c r="C223" s="1">
        <v>-3.49</v>
      </c>
      <c r="D223" s="1">
        <v>2150.3</v>
      </c>
      <c r="E223" s="1">
        <v>19313917952</v>
      </c>
      <c r="F223" s="1">
        <v>-4.68</v>
      </c>
      <c r="G223" s="1">
        <v>-3.52</v>
      </c>
      <c r="H223" s="1">
        <v>-2.59</v>
      </c>
      <c r="I223" s="1">
        <v>-1.16</v>
      </c>
      <c r="J223" s="1">
        <v>79</v>
      </c>
      <c r="K223" s="1"/>
      <c r="L223" s="1">
        <v>0</v>
      </c>
    </row>
    <row r="224" spans="1:12">
      <c r="A224" s="1" t="str">
        <f>"880633"</f>
        <v>880633</v>
      </c>
      <c r="B224" s="1" t="s">
        <v>275</v>
      </c>
      <c r="C224" s="1">
        <v>-3.5</v>
      </c>
      <c r="D224" s="1">
        <v>1523.17</v>
      </c>
      <c r="E224" s="1">
        <v>32192776192</v>
      </c>
      <c r="F224" s="1">
        <v>-4.17</v>
      </c>
      <c r="G224" s="1">
        <v>-3.02</v>
      </c>
      <c r="H224" s="1">
        <v>-1.99</v>
      </c>
      <c r="I224" s="1">
        <v>-1.15</v>
      </c>
      <c r="J224" s="1">
        <v>143</v>
      </c>
      <c r="K224" s="1"/>
      <c r="L224" s="1">
        <v>0</v>
      </c>
    </row>
    <row r="225" spans="1:12">
      <c r="A225" s="1" t="str">
        <f>"880734"</f>
        <v>880734</v>
      </c>
      <c r="B225" s="1" t="s">
        <v>276</v>
      </c>
      <c r="C225" s="1">
        <v>-3.51</v>
      </c>
      <c r="D225" s="1">
        <v>1338.45</v>
      </c>
      <c r="E225" s="1">
        <v>12154338304</v>
      </c>
      <c r="F225" s="1">
        <v>-5.64</v>
      </c>
      <c r="G225" s="1">
        <v>-4.57</v>
      </c>
      <c r="H225" s="1">
        <v>-3.43</v>
      </c>
      <c r="I225" s="1">
        <v>-1.07</v>
      </c>
      <c r="J225" s="1">
        <v>29</v>
      </c>
      <c r="K225" s="1"/>
      <c r="L225" s="1">
        <v>0</v>
      </c>
    </row>
    <row r="226" spans="1:12">
      <c r="A226" s="1" t="str">
        <f>"880541"</f>
        <v>880541</v>
      </c>
      <c r="B226" s="1" t="s">
        <v>277</v>
      </c>
      <c r="C226" s="1">
        <v>-3.52</v>
      </c>
      <c r="D226" s="1">
        <v>1629.5</v>
      </c>
      <c r="E226" s="1">
        <v>59946033152</v>
      </c>
      <c r="F226" s="1">
        <v>-6.04</v>
      </c>
      <c r="G226" s="1">
        <v>-5.46</v>
      </c>
      <c r="H226" s="1">
        <v>-4.87</v>
      </c>
      <c r="I226" s="1">
        <v>-0.58</v>
      </c>
      <c r="J226" s="1">
        <v>80</v>
      </c>
      <c r="K226" s="1"/>
      <c r="L226" s="1">
        <v>0</v>
      </c>
    </row>
    <row r="227" spans="1:12">
      <c r="A227" s="1" t="str">
        <f>"880744"</f>
        <v>880744</v>
      </c>
      <c r="B227" s="1" t="s">
        <v>278</v>
      </c>
      <c r="C227" s="1">
        <v>-3.52</v>
      </c>
      <c r="D227" s="1">
        <v>1209.79</v>
      </c>
      <c r="E227" s="1">
        <v>5560979968</v>
      </c>
      <c r="F227" s="1">
        <v>-3.45</v>
      </c>
      <c r="G227" s="1">
        <v>-1.96</v>
      </c>
      <c r="H227" s="1">
        <v>-0.7</v>
      </c>
      <c r="I227" s="1">
        <v>-1.49</v>
      </c>
      <c r="J227" s="1">
        <v>26</v>
      </c>
      <c r="K227" s="1"/>
      <c r="L227" s="1">
        <v>0</v>
      </c>
    </row>
    <row r="228" spans="1:12">
      <c r="A228" s="1" t="str">
        <f>"880548"</f>
        <v>880548</v>
      </c>
      <c r="B228" s="1" t="s">
        <v>279</v>
      </c>
      <c r="C228" s="1">
        <v>-3.52</v>
      </c>
      <c r="D228" s="1">
        <v>1771.81</v>
      </c>
      <c r="E228" s="3" t="s">
        <v>280</v>
      </c>
      <c r="F228" s="1">
        <v>-4.6</v>
      </c>
      <c r="G228" s="1">
        <v>-3.46</v>
      </c>
      <c r="H228" s="1">
        <v>-2.83</v>
      </c>
      <c r="I228" s="1">
        <v>-1.14</v>
      </c>
      <c r="J228" s="1">
        <v>533</v>
      </c>
      <c r="K228" s="1"/>
      <c r="L228" s="1">
        <v>0</v>
      </c>
    </row>
    <row r="229" spans="1:12">
      <c r="A229" s="1" t="str">
        <f>"880635"</f>
        <v>880635</v>
      </c>
      <c r="B229" s="1" t="s">
        <v>281</v>
      </c>
      <c r="C229" s="1">
        <v>-3.52</v>
      </c>
      <c r="D229" s="1">
        <v>2027.68</v>
      </c>
      <c r="E229" s="3" t="s">
        <v>282</v>
      </c>
      <c r="F229" s="1">
        <v>-6.74</v>
      </c>
      <c r="G229" s="1">
        <v>-6.36</v>
      </c>
      <c r="H229" s="1">
        <v>-5.68</v>
      </c>
      <c r="I229" s="1">
        <v>-0.38</v>
      </c>
      <c r="J229" s="1">
        <v>204</v>
      </c>
      <c r="K229" s="1"/>
      <c r="L229" s="1">
        <v>0</v>
      </c>
    </row>
    <row r="230" spans="1:12">
      <c r="A230" s="1" t="str">
        <f>"880764"</f>
        <v>880764</v>
      </c>
      <c r="B230" s="1" t="s">
        <v>283</v>
      </c>
      <c r="C230" s="1">
        <v>-3.52</v>
      </c>
      <c r="D230" s="1">
        <v>758.43</v>
      </c>
      <c r="E230" s="1">
        <v>3479096832</v>
      </c>
      <c r="F230" s="1">
        <v>-4.18</v>
      </c>
      <c r="G230" s="1">
        <v>-2.9</v>
      </c>
      <c r="H230" s="1">
        <v>-2.11</v>
      </c>
      <c r="I230" s="1">
        <v>-1.28</v>
      </c>
      <c r="J230" s="1">
        <v>22</v>
      </c>
      <c r="K230" s="1"/>
      <c r="L230" s="1">
        <v>0</v>
      </c>
    </row>
    <row r="231" spans="1:12">
      <c r="A231" s="1" t="str">
        <f>"880588"</f>
        <v>880588</v>
      </c>
      <c r="B231" s="1" t="s">
        <v>284</v>
      </c>
      <c r="C231" s="1">
        <v>-3.53</v>
      </c>
      <c r="D231" s="1">
        <v>664.82</v>
      </c>
      <c r="E231" s="1">
        <v>32420048896</v>
      </c>
      <c r="F231" s="1">
        <v>-6.53</v>
      </c>
      <c r="G231" s="1">
        <v>-6.08</v>
      </c>
      <c r="H231" s="1">
        <v>-5.48</v>
      </c>
      <c r="I231" s="1">
        <v>-0.45</v>
      </c>
      <c r="J231" s="1">
        <v>44</v>
      </c>
      <c r="K231" s="1"/>
      <c r="L231" s="1">
        <v>0</v>
      </c>
    </row>
    <row r="232" spans="1:12">
      <c r="A232" s="1" t="str">
        <f>"880506"</f>
        <v>880506</v>
      </c>
      <c r="B232" s="1" t="s">
        <v>285</v>
      </c>
      <c r="C232" s="1">
        <v>-3.54</v>
      </c>
      <c r="D232" s="1">
        <v>3139.52</v>
      </c>
      <c r="E232" s="3" t="s">
        <v>286</v>
      </c>
      <c r="F232" s="1">
        <v>-4.44</v>
      </c>
      <c r="G232" s="1">
        <v>-3.5</v>
      </c>
      <c r="H232" s="1">
        <v>-2.86</v>
      </c>
      <c r="I232" s="1">
        <v>-0.94</v>
      </c>
      <c r="J232" s="1">
        <v>454</v>
      </c>
      <c r="K232" s="1"/>
      <c r="L232" s="1">
        <v>0</v>
      </c>
    </row>
    <row r="233" spans="1:12">
      <c r="A233" s="1" t="str">
        <f>"880961"</f>
        <v>880961</v>
      </c>
      <c r="B233" s="1" t="s">
        <v>287</v>
      </c>
      <c r="C233" s="1">
        <v>-3.54</v>
      </c>
      <c r="D233" s="1">
        <v>2235.45</v>
      </c>
      <c r="E233" s="3" t="s">
        <v>288</v>
      </c>
      <c r="F233" s="1">
        <v>-4.99</v>
      </c>
      <c r="G233" s="1">
        <v>-4.17</v>
      </c>
      <c r="H233" s="1">
        <v>-3.43</v>
      </c>
      <c r="I233" s="1">
        <v>-0.82</v>
      </c>
      <c r="J233" s="1">
        <v>343</v>
      </c>
      <c r="K233" s="1"/>
      <c r="L233" s="1">
        <v>0</v>
      </c>
    </row>
    <row r="234" spans="1:12">
      <c r="A234" s="1" t="str">
        <f>"880585"</f>
        <v>880585</v>
      </c>
      <c r="B234" s="1" t="s">
        <v>289</v>
      </c>
      <c r="C234" s="1">
        <v>-3.57</v>
      </c>
      <c r="D234" s="1">
        <v>1119.93</v>
      </c>
      <c r="E234" s="1">
        <v>2608401920</v>
      </c>
      <c r="F234" s="1">
        <v>-1.44</v>
      </c>
      <c r="G234" s="1">
        <v>0.09</v>
      </c>
      <c r="H234" s="1">
        <v>1.23</v>
      </c>
      <c r="I234" s="1">
        <v>-1.53</v>
      </c>
      <c r="J234" s="1">
        <v>11</v>
      </c>
      <c r="K234" s="1"/>
      <c r="L234" s="1">
        <v>0</v>
      </c>
    </row>
    <row r="235" spans="1:12">
      <c r="A235" s="1" t="str">
        <f>"880703"</f>
        <v>880703</v>
      </c>
      <c r="B235" s="1" t="s">
        <v>290</v>
      </c>
      <c r="C235" s="1">
        <v>-3.58</v>
      </c>
      <c r="D235" s="1">
        <v>1913.21</v>
      </c>
      <c r="E235" s="3" t="s">
        <v>291</v>
      </c>
      <c r="F235" s="1">
        <v>-4.83</v>
      </c>
      <c r="G235" s="1">
        <v>-3.81</v>
      </c>
      <c r="H235" s="1">
        <v>-2.81</v>
      </c>
      <c r="I235" s="1">
        <v>-1.03</v>
      </c>
      <c r="J235" s="1">
        <v>472</v>
      </c>
      <c r="K235" s="1"/>
      <c r="L235" s="1">
        <v>0</v>
      </c>
    </row>
    <row r="236" spans="1:12">
      <c r="A236" s="1" t="str">
        <f>"880950"</f>
        <v>880950</v>
      </c>
      <c r="B236" s="1" t="s">
        <v>292</v>
      </c>
      <c r="C236" s="1">
        <v>-3.59</v>
      </c>
      <c r="D236" s="1">
        <v>1405.29</v>
      </c>
      <c r="E236" s="1">
        <v>49767895040</v>
      </c>
      <c r="F236" s="1">
        <v>-3.88</v>
      </c>
      <c r="G236" s="1">
        <v>-2.43</v>
      </c>
      <c r="H236" s="1">
        <v>-1.87</v>
      </c>
      <c r="I236" s="1">
        <v>-1.45</v>
      </c>
      <c r="J236" s="1">
        <v>195</v>
      </c>
      <c r="K236" s="1"/>
      <c r="L236" s="1">
        <v>0</v>
      </c>
    </row>
    <row r="237" spans="1:12">
      <c r="A237" s="1" t="str">
        <f>"880899"</f>
        <v>880899</v>
      </c>
      <c r="B237" s="1" t="s">
        <v>293</v>
      </c>
      <c r="C237" s="1">
        <v>-3.59</v>
      </c>
      <c r="D237" s="1">
        <v>1087.17</v>
      </c>
      <c r="E237" s="1">
        <v>26124900352</v>
      </c>
      <c r="F237" s="1">
        <v>-5.12</v>
      </c>
      <c r="G237" s="1">
        <v>-3.94</v>
      </c>
      <c r="H237" s="1">
        <v>-2.52</v>
      </c>
      <c r="I237" s="1">
        <v>-1.18</v>
      </c>
      <c r="J237" s="1">
        <v>39</v>
      </c>
      <c r="K237" s="1"/>
      <c r="L237" s="1">
        <v>0</v>
      </c>
    </row>
    <row r="238" spans="1:12">
      <c r="A238" s="1" t="str">
        <f>"880905"</f>
        <v>880905</v>
      </c>
      <c r="B238" s="1" t="s">
        <v>294</v>
      </c>
      <c r="C238" s="1">
        <v>-3.6</v>
      </c>
      <c r="D238" s="1">
        <v>3953.58</v>
      </c>
      <c r="E238" s="1">
        <v>20226451456</v>
      </c>
      <c r="F238" s="1">
        <v>-5.09</v>
      </c>
      <c r="G238" s="1">
        <v>-3.84</v>
      </c>
      <c r="H238" s="1">
        <v>-2.76</v>
      </c>
      <c r="I238" s="1">
        <v>-1.25</v>
      </c>
      <c r="J238" s="1">
        <v>36</v>
      </c>
      <c r="K238" s="1"/>
      <c r="L238" s="1">
        <v>0</v>
      </c>
    </row>
    <row r="239" spans="1:12">
      <c r="A239" s="1" t="str">
        <f>"880684"</f>
        <v>880684</v>
      </c>
      <c r="B239" s="1" t="s">
        <v>295</v>
      </c>
      <c r="C239" s="1">
        <v>-3.6</v>
      </c>
      <c r="D239" s="1">
        <v>1013.3</v>
      </c>
      <c r="E239" s="1">
        <v>21843574784</v>
      </c>
      <c r="F239" s="1">
        <v>-5.33</v>
      </c>
      <c r="G239" s="1">
        <v>-4.31</v>
      </c>
      <c r="H239" s="1">
        <v>-3.27</v>
      </c>
      <c r="I239" s="1">
        <v>-1.02</v>
      </c>
      <c r="J239" s="1">
        <v>51</v>
      </c>
      <c r="K239" s="1"/>
      <c r="L239" s="1">
        <v>0</v>
      </c>
    </row>
    <row r="240" spans="1:12">
      <c r="A240" s="1" t="str">
        <f>"880631"</f>
        <v>880631</v>
      </c>
      <c r="B240" s="1" t="s">
        <v>296</v>
      </c>
      <c r="C240" s="1">
        <v>-3.6</v>
      </c>
      <c r="D240" s="1">
        <v>1023.26</v>
      </c>
      <c r="E240" s="1">
        <v>10709304320</v>
      </c>
      <c r="F240" s="1">
        <v>-4.39</v>
      </c>
      <c r="G240" s="1">
        <v>-3.2</v>
      </c>
      <c r="H240" s="1">
        <v>-2.19</v>
      </c>
      <c r="I240" s="1">
        <v>-1.19</v>
      </c>
      <c r="J240" s="1">
        <v>57</v>
      </c>
      <c r="K240" s="1"/>
      <c r="L240" s="1">
        <v>0</v>
      </c>
    </row>
    <row r="241" spans="1:12">
      <c r="A241" s="1" t="str">
        <f>"880672"</f>
        <v>880672</v>
      </c>
      <c r="B241" s="1" t="s">
        <v>297</v>
      </c>
      <c r="C241" s="1">
        <v>-3.61</v>
      </c>
      <c r="D241" s="1">
        <v>2418.5</v>
      </c>
      <c r="E241" s="3" t="s">
        <v>298</v>
      </c>
      <c r="F241" s="1">
        <v>-7.04</v>
      </c>
      <c r="G241" s="1">
        <v>-6.71</v>
      </c>
      <c r="H241" s="1">
        <v>-5.95</v>
      </c>
      <c r="I241" s="1">
        <v>-0.33</v>
      </c>
      <c r="J241" s="1">
        <v>203</v>
      </c>
      <c r="K241" s="1"/>
      <c r="L241" s="1">
        <v>0</v>
      </c>
    </row>
    <row r="242" spans="1:12">
      <c r="A242" s="1" t="str">
        <f>"880952"</f>
        <v>880952</v>
      </c>
      <c r="B242" s="1" t="s">
        <v>299</v>
      </c>
      <c r="C242" s="1">
        <v>-3.61</v>
      </c>
      <c r="D242" s="1">
        <v>2653.48</v>
      </c>
      <c r="E242" s="3" t="s">
        <v>300</v>
      </c>
      <c r="F242" s="1">
        <v>-5.43</v>
      </c>
      <c r="G242" s="1">
        <v>-4.67</v>
      </c>
      <c r="H242" s="1">
        <v>-3.9</v>
      </c>
      <c r="I242" s="1">
        <v>-0.76</v>
      </c>
      <c r="J242" s="1">
        <v>934</v>
      </c>
      <c r="K242" s="1"/>
      <c r="L242" s="1">
        <v>0</v>
      </c>
    </row>
    <row r="243" spans="1:12">
      <c r="A243" s="1" t="str">
        <f>"880664"</f>
        <v>880664</v>
      </c>
      <c r="B243" s="1" t="s">
        <v>301</v>
      </c>
      <c r="C243" s="1">
        <v>-3.63</v>
      </c>
      <c r="D243" s="1">
        <v>1428.74</v>
      </c>
      <c r="E243" s="1">
        <v>73441492992</v>
      </c>
      <c r="F243" s="1">
        <v>-4.62</v>
      </c>
      <c r="G243" s="1">
        <v>-3.61</v>
      </c>
      <c r="H243" s="1">
        <v>-2.8</v>
      </c>
      <c r="I243" s="1">
        <v>-1.02</v>
      </c>
      <c r="J243" s="1">
        <v>249</v>
      </c>
      <c r="K243" s="1"/>
      <c r="L243" s="1">
        <v>0</v>
      </c>
    </row>
    <row r="244" spans="1:12">
      <c r="A244" s="1" t="str">
        <f>"880737"</f>
        <v>880737</v>
      </c>
      <c r="B244" s="1" t="s">
        <v>302</v>
      </c>
      <c r="C244" s="1">
        <v>-3.64</v>
      </c>
      <c r="D244" s="1">
        <v>1020.04</v>
      </c>
      <c r="E244" s="1">
        <v>20523542528</v>
      </c>
      <c r="F244" s="1">
        <v>-4.67</v>
      </c>
      <c r="G244" s="1">
        <v>-3.65</v>
      </c>
      <c r="H244" s="1">
        <v>-2.56</v>
      </c>
      <c r="I244" s="1">
        <v>-1.02</v>
      </c>
      <c r="J244" s="1">
        <v>60</v>
      </c>
      <c r="K244" s="1"/>
      <c r="L244" s="1">
        <v>0</v>
      </c>
    </row>
    <row r="245" spans="1:12">
      <c r="A245" s="1" t="str">
        <f>"880726"</f>
        <v>880726</v>
      </c>
      <c r="B245" s="1" t="s">
        <v>303</v>
      </c>
      <c r="C245" s="1">
        <v>-3.66</v>
      </c>
      <c r="D245" s="1">
        <v>1165</v>
      </c>
      <c r="E245" s="1">
        <v>50600144896</v>
      </c>
      <c r="F245" s="1">
        <v>-6.06</v>
      </c>
      <c r="G245" s="1">
        <v>-5.47</v>
      </c>
      <c r="H245" s="1">
        <v>-5.08</v>
      </c>
      <c r="I245" s="1">
        <v>-0.59</v>
      </c>
      <c r="J245" s="1">
        <v>92</v>
      </c>
      <c r="K245" s="1"/>
      <c r="L245" s="1">
        <v>0</v>
      </c>
    </row>
    <row r="246" spans="1:12">
      <c r="A246" s="1" t="str">
        <f>"880616"</f>
        <v>880616</v>
      </c>
      <c r="B246" s="1" t="s">
        <v>304</v>
      </c>
      <c r="C246" s="1">
        <v>-3.67</v>
      </c>
      <c r="D246" s="1">
        <v>1343.38</v>
      </c>
      <c r="E246" s="1">
        <v>38095585280</v>
      </c>
      <c r="F246" s="1">
        <v>-4.29</v>
      </c>
      <c r="G246" s="1">
        <v>-2.85</v>
      </c>
      <c r="H246" s="1">
        <v>-2.14</v>
      </c>
      <c r="I246" s="1">
        <v>-1.44</v>
      </c>
      <c r="J246" s="1">
        <v>157</v>
      </c>
      <c r="K246" s="1"/>
      <c r="L246" s="1">
        <v>0</v>
      </c>
    </row>
    <row r="247" spans="1:12">
      <c r="A247" s="1" t="str">
        <f>"880683"</f>
        <v>880683</v>
      </c>
      <c r="B247" s="1" t="s">
        <v>305</v>
      </c>
      <c r="C247" s="1">
        <v>-3.67</v>
      </c>
      <c r="D247" s="1">
        <v>1157.9</v>
      </c>
      <c r="E247" s="1">
        <v>17223809024</v>
      </c>
      <c r="F247" s="1">
        <v>-4.01</v>
      </c>
      <c r="G247" s="1">
        <v>-2.83</v>
      </c>
      <c r="H247" s="1">
        <v>-2.53</v>
      </c>
      <c r="I247" s="1">
        <v>-1.18</v>
      </c>
      <c r="J247" s="1">
        <v>69</v>
      </c>
      <c r="K247" s="1"/>
      <c r="L247" s="1">
        <v>0</v>
      </c>
    </row>
    <row r="248" spans="1:12">
      <c r="A248" s="1" t="str">
        <f>"880685"</f>
        <v>880685</v>
      </c>
      <c r="B248" s="1" t="s">
        <v>306</v>
      </c>
      <c r="C248" s="1">
        <v>-3.73</v>
      </c>
      <c r="D248" s="1">
        <v>2112.92</v>
      </c>
      <c r="E248" s="3" t="s">
        <v>307</v>
      </c>
      <c r="F248" s="1">
        <v>-5.71</v>
      </c>
      <c r="G248" s="1">
        <v>-4.93</v>
      </c>
      <c r="H248" s="1">
        <v>-4.16</v>
      </c>
      <c r="I248" s="1">
        <v>-0.78</v>
      </c>
      <c r="J248" s="1">
        <v>238</v>
      </c>
      <c r="K248" s="1"/>
      <c r="L248" s="1">
        <v>0</v>
      </c>
    </row>
    <row r="249" spans="1:12">
      <c r="A249" s="1" t="str">
        <f>"880574"</f>
        <v>880574</v>
      </c>
      <c r="B249" s="1" t="s">
        <v>308</v>
      </c>
      <c r="C249" s="1">
        <v>-3.73</v>
      </c>
      <c r="D249" s="1">
        <v>6164.37</v>
      </c>
      <c r="E249" s="1">
        <v>94836391936</v>
      </c>
      <c r="F249" s="1">
        <v>-5.3</v>
      </c>
      <c r="G249" s="1">
        <v>-4.5</v>
      </c>
      <c r="H249" s="1">
        <v>-3.65</v>
      </c>
      <c r="I249" s="1">
        <v>-0.8</v>
      </c>
      <c r="J249" s="1">
        <v>146</v>
      </c>
      <c r="K249" s="1"/>
      <c r="L249" s="1">
        <v>0</v>
      </c>
    </row>
    <row r="250" spans="1:12">
      <c r="A250" s="1" t="str">
        <f>"880740"</f>
        <v>880740</v>
      </c>
      <c r="B250" s="1" t="s">
        <v>309</v>
      </c>
      <c r="C250" s="1">
        <v>-3.73</v>
      </c>
      <c r="D250" s="1">
        <v>1506.54</v>
      </c>
      <c r="E250" s="1">
        <v>22402017280</v>
      </c>
      <c r="F250" s="1">
        <v>-4.23</v>
      </c>
      <c r="G250" s="1">
        <v>-3.27</v>
      </c>
      <c r="H250" s="1">
        <v>-2.04</v>
      </c>
      <c r="I250" s="1">
        <v>-0.97</v>
      </c>
      <c r="J250" s="1">
        <v>57</v>
      </c>
      <c r="K250" s="1"/>
      <c r="L250" s="1">
        <v>0</v>
      </c>
    </row>
    <row r="251" spans="1:12">
      <c r="A251" s="1" t="str">
        <f>"880670"</f>
        <v>880670</v>
      </c>
      <c r="B251" s="1" t="s">
        <v>310</v>
      </c>
      <c r="C251" s="1">
        <v>-3.73</v>
      </c>
      <c r="D251" s="1">
        <v>2473.75</v>
      </c>
      <c r="E251" s="3" t="s">
        <v>311</v>
      </c>
      <c r="F251" s="1">
        <v>-5.59</v>
      </c>
      <c r="G251" s="1">
        <v>-4.84</v>
      </c>
      <c r="H251" s="1">
        <v>-3.89</v>
      </c>
      <c r="I251" s="1">
        <v>-0.75</v>
      </c>
      <c r="J251" s="1">
        <v>157</v>
      </c>
      <c r="K251" s="1"/>
      <c r="L251" s="1">
        <v>0</v>
      </c>
    </row>
    <row r="252" spans="1:12">
      <c r="A252" s="1" t="str">
        <f>"880553"</f>
        <v>880553</v>
      </c>
      <c r="B252" s="1" t="s">
        <v>312</v>
      </c>
      <c r="C252" s="1">
        <v>-3.74</v>
      </c>
      <c r="D252" s="1">
        <v>1879.47</v>
      </c>
      <c r="E252" s="1">
        <v>18397036544</v>
      </c>
      <c r="F252" s="1">
        <v>-3.33</v>
      </c>
      <c r="G252" s="1">
        <v>-1.48</v>
      </c>
      <c r="H252" s="1">
        <v>-0.9</v>
      </c>
      <c r="I252" s="1">
        <v>-1.85</v>
      </c>
      <c r="J252" s="1">
        <v>46</v>
      </c>
      <c r="K252" s="1"/>
      <c r="L252" s="1">
        <v>0</v>
      </c>
    </row>
    <row r="253" spans="1:12">
      <c r="A253" s="1" t="str">
        <f>"880656"</f>
        <v>880656</v>
      </c>
      <c r="B253" s="1" t="s">
        <v>313</v>
      </c>
      <c r="C253" s="1">
        <v>-3.75</v>
      </c>
      <c r="D253" s="1">
        <v>5271.01</v>
      </c>
      <c r="E253" s="3" t="s">
        <v>314</v>
      </c>
      <c r="F253" s="1">
        <v>-5.88</v>
      </c>
      <c r="G253" s="1">
        <v>-5.36</v>
      </c>
      <c r="H253" s="1">
        <v>-4.57</v>
      </c>
      <c r="I253" s="1">
        <v>-0.52</v>
      </c>
      <c r="J253" s="1">
        <v>220</v>
      </c>
      <c r="K253" s="1"/>
      <c r="L253" s="1">
        <v>0</v>
      </c>
    </row>
    <row r="254" spans="1:12">
      <c r="A254" s="1" t="str">
        <f>"880638"</f>
        <v>880638</v>
      </c>
      <c r="B254" s="1" t="s">
        <v>315</v>
      </c>
      <c r="C254" s="1">
        <v>-3.77</v>
      </c>
      <c r="D254" s="1">
        <v>744.02</v>
      </c>
      <c r="E254" s="1">
        <v>30622808064</v>
      </c>
      <c r="F254" s="1">
        <v>-4.95</v>
      </c>
      <c r="G254" s="1">
        <v>-3.88</v>
      </c>
      <c r="H254" s="1">
        <v>-2.83</v>
      </c>
      <c r="I254" s="1">
        <v>-1.07</v>
      </c>
      <c r="J254" s="1">
        <v>67</v>
      </c>
      <c r="K254" s="1"/>
      <c r="L254" s="1">
        <v>0</v>
      </c>
    </row>
    <row r="255" spans="1:12">
      <c r="A255" s="1" t="str">
        <f>"880673"</f>
        <v>880673</v>
      </c>
      <c r="B255" s="1" t="s">
        <v>316</v>
      </c>
      <c r="C255" s="1">
        <v>-3.77</v>
      </c>
      <c r="D255" s="1">
        <v>1504.9</v>
      </c>
      <c r="E255" s="1">
        <v>29315573760</v>
      </c>
      <c r="F255" s="1">
        <v>-4.44</v>
      </c>
      <c r="G255" s="1">
        <v>-3.57</v>
      </c>
      <c r="H255" s="1">
        <v>-3.05</v>
      </c>
      <c r="I255" s="1">
        <v>-0.88</v>
      </c>
      <c r="J255" s="1">
        <v>62</v>
      </c>
      <c r="K255" s="1"/>
      <c r="L255" s="1">
        <v>0</v>
      </c>
    </row>
    <row r="256" spans="1:12">
      <c r="A256" s="1" t="str">
        <f>"880608"</f>
        <v>880608</v>
      </c>
      <c r="B256" s="1" t="s">
        <v>317</v>
      </c>
      <c r="C256" s="1">
        <v>-3.78</v>
      </c>
      <c r="D256" s="1">
        <v>1516.24</v>
      </c>
      <c r="E256" s="3" t="s">
        <v>318</v>
      </c>
      <c r="F256" s="1">
        <v>-6.35</v>
      </c>
      <c r="G256" s="1">
        <v>-5.77</v>
      </c>
      <c r="H256" s="1">
        <v>-5.04</v>
      </c>
      <c r="I256" s="1">
        <v>-0.59</v>
      </c>
      <c r="J256" s="1">
        <v>190</v>
      </c>
      <c r="K256" s="1"/>
      <c r="L256" s="1">
        <v>0</v>
      </c>
    </row>
    <row r="257" spans="1:12">
      <c r="A257" s="1" t="str">
        <f>"880661"</f>
        <v>880661</v>
      </c>
      <c r="B257" s="1" t="s">
        <v>319</v>
      </c>
      <c r="C257" s="1">
        <v>-3.8</v>
      </c>
      <c r="D257" s="1">
        <v>2054.74</v>
      </c>
      <c r="E257" s="1">
        <v>73270837248</v>
      </c>
      <c r="F257" s="1">
        <v>-4.89</v>
      </c>
      <c r="G257" s="1">
        <v>-3.96</v>
      </c>
      <c r="H257" s="1">
        <v>-3.43</v>
      </c>
      <c r="I257" s="1">
        <v>-0.93</v>
      </c>
      <c r="J257" s="1">
        <v>100</v>
      </c>
      <c r="K257" s="1"/>
      <c r="L257" s="1">
        <v>0</v>
      </c>
    </row>
    <row r="258" spans="1:12">
      <c r="A258" s="1" t="str">
        <f>"880674"</f>
        <v>880674</v>
      </c>
      <c r="B258" s="1" t="s">
        <v>320</v>
      </c>
      <c r="C258" s="1">
        <v>-3.83</v>
      </c>
      <c r="D258" s="1">
        <v>1715.81</v>
      </c>
      <c r="E258" s="1">
        <v>92903440384</v>
      </c>
      <c r="F258" s="1">
        <v>-5.22</v>
      </c>
      <c r="G258" s="1">
        <v>-4.39</v>
      </c>
      <c r="H258" s="1">
        <v>-3.74</v>
      </c>
      <c r="I258" s="1">
        <v>-0.83</v>
      </c>
      <c r="J258" s="1">
        <v>94</v>
      </c>
      <c r="K258" s="1"/>
      <c r="L258" s="1">
        <v>0</v>
      </c>
    </row>
    <row r="259" spans="1:12">
      <c r="A259" s="1" t="str">
        <f>"880523"</f>
        <v>880523</v>
      </c>
      <c r="B259" s="1" t="s">
        <v>321</v>
      </c>
      <c r="C259" s="1">
        <v>-3.83</v>
      </c>
      <c r="D259" s="1">
        <v>2182.84</v>
      </c>
      <c r="E259" s="1">
        <v>36121939968</v>
      </c>
      <c r="F259" s="1">
        <v>-6.25</v>
      </c>
      <c r="G259" s="1">
        <v>-5.42</v>
      </c>
      <c r="H259" s="1">
        <v>-4.61</v>
      </c>
      <c r="I259" s="1">
        <v>-0.83</v>
      </c>
      <c r="J259" s="1">
        <v>52</v>
      </c>
      <c r="K259" s="1"/>
      <c r="L259" s="1">
        <v>0</v>
      </c>
    </row>
    <row r="260" spans="1:12">
      <c r="A260" s="1" t="str">
        <f>"880675"</f>
        <v>880675</v>
      </c>
      <c r="B260" s="1" t="s">
        <v>322</v>
      </c>
      <c r="C260" s="1">
        <v>-3.85</v>
      </c>
      <c r="D260" s="1">
        <v>1589.73</v>
      </c>
      <c r="E260" s="1">
        <v>27204462592</v>
      </c>
      <c r="F260" s="1">
        <v>-4.78</v>
      </c>
      <c r="G260" s="1">
        <v>-3.69</v>
      </c>
      <c r="H260" s="1">
        <v>-2.46</v>
      </c>
      <c r="I260" s="1">
        <v>-1.09</v>
      </c>
      <c r="J260" s="1">
        <v>139</v>
      </c>
      <c r="K260" s="1"/>
      <c r="L260" s="1">
        <v>0</v>
      </c>
    </row>
    <row r="261" spans="1:12">
      <c r="A261" s="1" t="str">
        <f>"880612"</f>
        <v>880612</v>
      </c>
      <c r="B261" s="1" t="s">
        <v>323</v>
      </c>
      <c r="C261" s="1">
        <v>-3.86</v>
      </c>
      <c r="D261" s="1">
        <v>1137.94</v>
      </c>
      <c r="E261" s="1">
        <v>24710600704</v>
      </c>
      <c r="F261" s="1">
        <v>-5.2</v>
      </c>
      <c r="G261" s="1">
        <v>-3.98</v>
      </c>
      <c r="H261" s="1">
        <v>-2.59</v>
      </c>
      <c r="I261" s="1">
        <v>-1.22</v>
      </c>
      <c r="J261" s="1">
        <v>46</v>
      </c>
      <c r="K261" s="1"/>
      <c r="L261" s="1">
        <v>0</v>
      </c>
    </row>
    <row r="262" spans="1:12">
      <c r="A262" s="1" t="str">
        <f>"880569"</f>
        <v>880569</v>
      </c>
      <c r="B262" s="1" t="s">
        <v>324</v>
      </c>
      <c r="C262" s="1">
        <v>-3.86</v>
      </c>
      <c r="D262" s="1">
        <v>3361.34</v>
      </c>
      <c r="E262" s="1">
        <v>52072554496</v>
      </c>
      <c r="F262" s="1">
        <v>-5.34</v>
      </c>
      <c r="G262" s="1">
        <v>-4.26</v>
      </c>
      <c r="H262" s="1">
        <v>-3.24</v>
      </c>
      <c r="I262" s="1">
        <v>-1.08</v>
      </c>
      <c r="J262" s="1">
        <v>142</v>
      </c>
      <c r="K262" s="1"/>
      <c r="L262" s="1">
        <v>0</v>
      </c>
    </row>
    <row r="263" spans="1:12">
      <c r="A263" s="1" t="str">
        <f>"880765"</f>
        <v>880765</v>
      </c>
      <c r="B263" s="1" t="s">
        <v>325</v>
      </c>
      <c r="C263" s="1">
        <v>-3.89</v>
      </c>
      <c r="D263" s="1">
        <v>1043.52</v>
      </c>
      <c r="E263" s="1">
        <v>26264078336</v>
      </c>
      <c r="F263" s="1">
        <v>-3.06</v>
      </c>
      <c r="G263" s="1">
        <v>-1.16</v>
      </c>
      <c r="H263" s="1">
        <v>-0.24</v>
      </c>
      <c r="I263" s="1">
        <v>-1.9</v>
      </c>
      <c r="J263" s="1">
        <v>62</v>
      </c>
      <c r="K263" s="1"/>
      <c r="L263" s="1">
        <v>0</v>
      </c>
    </row>
    <row r="264" spans="1:12">
      <c r="A264" s="1" t="str">
        <f>"880736"</f>
        <v>880736</v>
      </c>
      <c r="B264" s="1" t="s">
        <v>326</v>
      </c>
      <c r="C264" s="1">
        <v>-3.91</v>
      </c>
      <c r="D264" s="1">
        <v>1575.95</v>
      </c>
      <c r="E264" s="1">
        <v>30906439680</v>
      </c>
      <c r="F264" s="1">
        <v>-5.25</v>
      </c>
      <c r="G264" s="1">
        <v>-4.18</v>
      </c>
      <c r="H264" s="1">
        <v>-3.19</v>
      </c>
      <c r="I264" s="1">
        <v>-1.07</v>
      </c>
      <c r="J264" s="1">
        <v>123</v>
      </c>
      <c r="K264" s="1"/>
      <c r="L264" s="1">
        <v>0</v>
      </c>
    </row>
    <row r="265" spans="1:12">
      <c r="A265" s="1" t="str">
        <f>"880758"</f>
        <v>880758</v>
      </c>
      <c r="B265" s="1" t="s">
        <v>327</v>
      </c>
      <c r="C265" s="1">
        <v>-3.92</v>
      </c>
      <c r="D265" s="1">
        <v>998.86</v>
      </c>
      <c r="E265" s="1">
        <v>91112464384</v>
      </c>
      <c r="F265" s="1">
        <v>-6.5</v>
      </c>
      <c r="G265" s="1">
        <v>-5.93</v>
      </c>
      <c r="H265" s="1">
        <v>-5.46</v>
      </c>
      <c r="I265" s="1">
        <v>-0.57</v>
      </c>
      <c r="J265" s="1">
        <v>123</v>
      </c>
      <c r="K265" s="1"/>
      <c r="L265" s="1">
        <v>0</v>
      </c>
    </row>
    <row r="266" spans="1:12">
      <c r="A266" s="1" t="str">
        <f>"880628"</f>
        <v>880628</v>
      </c>
      <c r="B266" s="1" t="s">
        <v>328</v>
      </c>
      <c r="C266" s="1">
        <v>-3.98</v>
      </c>
      <c r="D266" s="1">
        <v>1202.1</v>
      </c>
      <c r="E266" s="1">
        <v>9527929856</v>
      </c>
      <c r="F266" s="1">
        <v>-3.53</v>
      </c>
      <c r="G266" s="1">
        <v>-1.53</v>
      </c>
      <c r="H266" s="1">
        <v>-0.31</v>
      </c>
      <c r="I266" s="1">
        <v>-2</v>
      </c>
      <c r="J266" s="1">
        <v>31</v>
      </c>
      <c r="K266" s="1"/>
      <c r="L266" s="1">
        <v>0</v>
      </c>
    </row>
    <row r="267" spans="1:12">
      <c r="A267" s="1" t="str">
        <f>"880750"</f>
        <v>880750</v>
      </c>
      <c r="B267" s="1" t="s">
        <v>329</v>
      </c>
      <c r="C267" s="1">
        <v>-4</v>
      </c>
      <c r="D267" s="1">
        <v>1295.89</v>
      </c>
      <c r="E267" s="1">
        <v>36539912192</v>
      </c>
      <c r="F267" s="1">
        <v>-2.86</v>
      </c>
      <c r="G267" s="1">
        <v>-0.6</v>
      </c>
      <c r="H267" s="1">
        <v>0.04</v>
      </c>
      <c r="I267" s="1">
        <v>-2.26</v>
      </c>
      <c r="J267" s="1">
        <v>145</v>
      </c>
      <c r="K267" s="1"/>
      <c r="L267" s="1">
        <v>0</v>
      </c>
    </row>
    <row r="268" spans="1:12">
      <c r="A268" s="1" t="str">
        <f>"880505"</f>
        <v>880505</v>
      </c>
      <c r="B268" s="1" t="s">
        <v>330</v>
      </c>
      <c r="C268" s="1">
        <v>-4</v>
      </c>
      <c r="D268" s="1">
        <v>1222.84</v>
      </c>
      <c r="E268" s="1">
        <v>43531919360</v>
      </c>
      <c r="F268" s="1">
        <v>-4.6</v>
      </c>
      <c r="G268" s="1">
        <v>-3.22</v>
      </c>
      <c r="H268" s="1">
        <v>-1.8</v>
      </c>
      <c r="I268" s="1">
        <v>-1.38</v>
      </c>
      <c r="J268" s="1">
        <v>64</v>
      </c>
      <c r="K268" s="1"/>
      <c r="L268" s="1">
        <v>0</v>
      </c>
    </row>
    <row r="269" spans="1:12">
      <c r="A269" s="1" t="str">
        <f>"880710"</f>
        <v>880710</v>
      </c>
      <c r="B269" s="1" t="s">
        <v>331</v>
      </c>
      <c r="C269" s="1">
        <v>-4.05</v>
      </c>
      <c r="D269" s="1">
        <v>1529.56</v>
      </c>
      <c r="E269" s="1">
        <v>3196927232</v>
      </c>
      <c r="F269" s="1">
        <v>-2.75</v>
      </c>
      <c r="G269" s="1">
        <v>-1.33</v>
      </c>
      <c r="H269" s="1">
        <v>2.01</v>
      </c>
      <c r="I269" s="1">
        <v>-1.42</v>
      </c>
      <c r="J269" s="1">
        <v>13</v>
      </c>
      <c r="K269" s="1"/>
      <c r="L269" s="1">
        <v>0</v>
      </c>
    </row>
    <row r="270" spans="1:12">
      <c r="A270" s="1" t="str">
        <f>"880754"</f>
        <v>880754</v>
      </c>
      <c r="B270" s="1" t="s">
        <v>332</v>
      </c>
      <c r="C270" s="1">
        <v>-4.12</v>
      </c>
      <c r="D270" s="1">
        <v>1931.23</v>
      </c>
      <c r="E270" s="1">
        <v>5635819008</v>
      </c>
      <c r="F270" s="1">
        <v>-6.2</v>
      </c>
      <c r="G270" s="1">
        <v>-5.3</v>
      </c>
      <c r="H270" s="1">
        <v>-4.28</v>
      </c>
      <c r="I270" s="1">
        <v>-0.9</v>
      </c>
      <c r="J270" s="1">
        <v>18</v>
      </c>
      <c r="K270" s="1"/>
      <c r="L270" s="1">
        <v>0</v>
      </c>
    </row>
    <row r="271" spans="1:12">
      <c r="A271" s="1" t="str">
        <f>"880549"</f>
        <v>880549</v>
      </c>
      <c r="B271" s="1" t="s">
        <v>333</v>
      </c>
      <c r="C271" s="1">
        <v>-4.33</v>
      </c>
      <c r="D271" s="1">
        <v>1800.9</v>
      </c>
      <c r="E271" s="1">
        <v>9138983936</v>
      </c>
      <c r="F271" s="1">
        <v>-3.61</v>
      </c>
      <c r="G271" s="1">
        <v>-1.53</v>
      </c>
      <c r="H271" s="1">
        <v>-1.25</v>
      </c>
      <c r="I271" s="1">
        <v>-2.09</v>
      </c>
      <c r="J271" s="1">
        <v>25</v>
      </c>
      <c r="K271" s="1"/>
      <c r="L271" s="1">
        <v>0</v>
      </c>
    </row>
    <row r="272" spans="1:12">
      <c r="A272" s="1" t="s">
        <v>334</v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板块强度排名20261015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YE.</cp:lastModifiedBy>
  <dcterms:created xsi:type="dcterms:W3CDTF">2026-10-15T10:14:06Z</dcterms:created>
  <dcterms:modified xsi:type="dcterms:W3CDTF">2026-10-15T10:18:33Z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5E19EE70A3C744CF93A43D2D2F7C69D7_13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